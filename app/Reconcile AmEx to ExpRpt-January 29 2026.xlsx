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Review against ExpRpt" sheetId="2" r:id="rId5"/>
    <sheet state="visible" name="Curt " sheetId="3" r:id="rId6"/>
    <sheet state="visible" name="Danny" sheetId="4" r:id="rId7"/>
    <sheet state="visible" name="Darren " sheetId="5" r:id="rId8"/>
    <sheet state="visible" name="Lane" sheetId="6" r:id="rId9"/>
    <sheet state="visible" name="Harper" sheetId="7" r:id="rId10"/>
    <sheet state="visible" name="Kody" sheetId="8" r:id="rId11"/>
    <sheet state="visible" name="Kolby" sheetId="9" r:id="rId12"/>
    <sheet state="visible" name="Paul" sheetId="10" r:id="rId13"/>
    <sheet state="visible" name="Transaction Details" sheetId="11" r:id="rId14"/>
    <sheet state="visible" name="Transaction Summary" sheetId="12" r:id="rId15"/>
  </sheets>
  <definedNames>
    <definedName name="Group">'Review against ExpRpt'!$G$417:$L$420</definedName>
    <definedName hidden="1" localSheetId="1" name="_xlnm._FilterDatabase">'Review against ExpRpt'!$A$1:$D$413</definedName>
    <definedName hidden="1" localSheetId="2" name="_xlnm._FilterDatabase">'Curt '!$A$1:$C$40</definedName>
    <definedName hidden="1" localSheetId="3" name="_xlnm._FilterDatabase">Danny!$A$1:$E$60</definedName>
    <definedName hidden="1" localSheetId="4" name="_xlnm._FilterDatabase">'Darren '!$A$1:$C$29</definedName>
    <definedName hidden="1" localSheetId="5" name="_xlnm._FilterDatabase">Lane!$A$1:$C$129</definedName>
    <definedName hidden="1" localSheetId="6" name="_xlnm._FilterDatabase">Harper!$A$1:$C$43</definedName>
    <definedName hidden="1" localSheetId="7" name="_xlnm._FilterDatabase">Kody!$A$1:$C$57</definedName>
    <definedName hidden="1" localSheetId="8" name="_xlnm._FilterDatabase">Kolby!$A$1:$C$17</definedName>
    <definedName hidden="1" localSheetId="9" name="_xlnm._FilterDatabase">Paul!$A$1:$C$44</definedName>
  </definedNames>
  <calcPr/>
  <extLst>
    <ext uri="GoogleSheetsCustomDataVersion2">
      <go:sheetsCustomData xmlns:go="http://customooxmlschemas.google.com/" r:id="rId16" roundtripDataChecksum="Gq382IFqSsusi6ce04WLBxXiFSQwaOWZblka1OXbKxo="/>
    </ext>
  </extLst>
</workbook>
</file>

<file path=xl/sharedStrings.xml><?xml version="1.0" encoding="utf-8"?>
<sst xmlns="http://schemas.openxmlformats.org/spreadsheetml/2006/main" count="18126" uniqueCount="1596">
  <si>
    <t>Based on transactions for January 1-28, 2026</t>
  </si>
  <si>
    <t>This page has a summary of AmEx charges vs. Expense Reports submitted.</t>
  </si>
  <si>
    <t>Full details are on tab "Review against ExpRpt"</t>
  </si>
  <si>
    <t>Details for each individual are on their own separate tabs.</t>
  </si>
  <si>
    <t>All card holders</t>
  </si>
  <si>
    <t>Receipt submitted?</t>
  </si>
  <si>
    <t>Amount</t>
  </si>
  <si>
    <t># of transactions</t>
  </si>
  <si>
    <t>% by dollar</t>
  </si>
  <si>
    <t>% by receipt</t>
  </si>
  <si>
    <t>No receipt submitted</t>
  </si>
  <si>
    <t>Receipt submitted</t>
  </si>
  <si>
    <t>Individual</t>
  </si>
  <si>
    <t>Curt</t>
  </si>
  <si>
    <t>Total</t>
  </si>
  <si>
    <t>Danny</t>
  </si>
  <si>
    <t>Darren</t>
  </si>
  <si>
    <t>Lane</t>
  </si>
  <si>
    <t>Harper</t>
  </si>
  <si>
    <t>Kody</t>
  </si>
  <si>
    <t>Kolby</t>
  </si>
  <si>
    <t>Paul</t>
  </si>
  <si>
    <t>Expense submitted</t>
  </si>
  <si>
    <t>Date</t>
  </si>
  <si>
    <t>Receipt</t>
  </si>
  <si>
    <t>Description</t>
  </si>
  <si>
    <t>Card Member</t>
  </si>
  <si>
    <t>Account #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</si>
  <si>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</si>
  <si>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</si>
  <si>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</si>
  <si>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</si>
  <si>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</si>
  <si>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</si>
  <si>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</si>
  <si>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</si>
  <si>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No</t>
  </si>
  <si>
    <t>01/22/2026</t>
  </si>
  <si>
    <t>ENTERPRISE RENT A TRLYNCHBURG           VA</t>
  </si>
  <si>
    <t>Gas card</t>
  </si>
  <si>
    <t>-51094</t>
  </si>
  <si>
    <t xml:space="preserve">019677571   434-3854902
ENTERPRISE RENT A TRUCK
LYNCHBURG
VA
</t>
  </si>
  <si>
    <t>18337 FRST RD</t>
  </si>
  <si>
    <t>LYNCHBURG
VA</t>
  </si>
  <si>
    <t>24502</t>
  </si>
  <si>
    <t>UNITED STATES</t>
  </si>
  <si>
    <t>320260230635478938</t>
  </si>
  <si>
    <t>Travel-Vehicle Rental</t>
  </si>
  <si>
    <t xml:space="preserve">019677581   434-3854902
ENTERPRISE RENT A TRUCK
LYNCHBURG
VA
</t>
  </si>
  <si>
    <t>320260230635482030</t>
  </si>
  <si>
    <t xml:space="preserve">019677576   434-3854902
ENTERPRISE RENT A TRUCK
LYNCHBURG
VA
</t>
  </si>
  <si>
    <t>320260230637253717</t>
  </si>
  <si>
    <t xml:space="preserve">019677582   434-3854902
ENTERPRISE RENT A TRUCK
LYNCHBURG
VA
</t>
  </si>
  <si>
    <t>320260230637260359</t>
  </si>
  <si>
    <t>01/05/2026</t>
  </si>
  <si>
    <t/>
  </si>
  <si>
    <t>BP#8334740VIRGINIA OCHARLOTTESVIL       VA</t>
  </si>
  <si>
    <t>Harper kappes</t>
  </si>
  <si>
    <t>-51078</t>
  </si>
  <si>
    <t>00753933   00753933         22901
General Merchandise
BP#8334740VIRGINIA OIL #
CHARLOTTESVIL
VA
General Merchandise
00753933         22901</t>
  </si>
  <si>
    <t>28100 TORCH PKWY</t>
  </si>
  <si>
    <t>WARRENVILLE
IL</t>
  </si>
  <si>
    <t>60555-3938</t>
  </si>
  <si>
    <t>320260060162152877</t>
  </si>
  <si>
    <t>Transportation-Fuel</t>
  </si>
  <si>
    <t>01/06/2026</t>
  </si>
  <si>
    <t>IC* COSTCO BY INSTACSAN FRANCISCO       CA</t>
  </si>
  <si>
    <t>Kolby kappes</t>
  </si>
  <si>
    <t>-52068</t>
  </si>
  <si>
    <t>6EJZXFBN    8882467822
IC* COSTCO BY INSTACAR
SAN FRANCISCO
CA
8882467822</t>
  </si>
  <si>
    <t>50 BEALE ST
6TH FLOOR</t>
  </si>
  <si>
    <t>SAN FRANCISCO
CA</t>
  </si>
  <si>
    <t>94105</t>
  </si>
  <si>
    <t>320260060153222793</t>
  </si>
  <si>
    <t>Merchandise &amp; Supplies-Groceries</t>
  </si>
  <si>
    <t>01/24/2026</t>
  </si>
  <si>
    <t>WWW.IRONTONTRIBUNE.CGAINESVILLE         FL</t>
  </si>
  <si>
    <t>CH_3STGEAI8 +18444423675
WWW.IRONTONTRIBUNE.COM
GAINESVILLE
FL
+18444423675</t>
  </si>
  <si>
    <t>747 SOUTH WEST 2ND AVE
SUITE 265 IMB 7</t>
  </si>
  <si>
    <t>GAINESVILLE
FL</t>
  </si>
  <si>
    <t>32601</t>
  </si>
  <si>
    <t>320260250690944370</t>
  </si>
  <si>
    <t>Merchandise &amp; Supplies-Computer Supplies</t>
  </si>
  <si>
    <t>01/15/2026</t>
  </si>
  <si>
    <t>AMAZON.COM          AMZN.COM/BILL       WA</t>
  </si>
  <si>
    <t>2WWPLDP4VHK MERCHANDISE
AMAZON.COM
AMZN.COM/BILL
WA
MERCHANDISE</t>
  </si>
  <si>
    <t>410 TERRY AVE N</t>
  </si>
  <si>
    <t>SEATTLE
WA</t>
  </si>
  <si>
    <t>98109</t>
  </si>
  <si>
    <t>320260160437243384</t>
  </si>
  <si>
    <t>Merchandise &amp; Supplies-Internet Purchase</t>
  </si>
  <si>
    <t>01/19/2026</t>
  </si>
  <si>
    <t>EXXONMOBIL          CHARLOTTESVIL       VA</t>
  </si>
  <si>
    <t>KODY R KAPPES</t>
  </si>
  <si>
    <t>-53009</t>
  </si>
  <si>
    <t>00032157   00072547         22901
400
EXXONMOBIL
CHARLOTTESVIL
VA
400
00072547         22901</t>
  </si>
  <si>
    <t>CUST SVC 1 800 243-9966</t>
  </si>
  <si>
    <t>KANSAS CITY
MO</t>
  </si>
  <si>
    <t>64141</t>
  </si>
  <si>
    <t>320260200547178688</t>
  </si>
  <si>
    <t>01/01/2026</t>
  </si>
  <si>
    <t>GOOGLE*SVCSTAXROWAN CC GOOGLE.COM</t>
  </si>
  <si>
    <t>A1061008038 TELECOM SERVICE
GOOGLE*SVCSTAXROWAN GMAIL.COM GOOGLE V
CC GOOGLE.COM
TELECOM SERVICE</t>
  </si>
  <si>
    <t>BLDG 41
1600 AMPHITHEATRE PARKWAY</t>
  </si>
  <si>
    <t>MOUNTAIN VIEW
CA</t>
  </si>
  <si>
    <t>94043</t>
  </si>
  <si>
    <t>320260020061309364</t>
  </si>
  <si>
    <t>Other-Miscellaneous</t>
  </si>
  <si>
    <t>01/13/2026</t>
  </si>
  <si>
    <t>AplPay DD *DOORDASHDSAN FRANCISCO       CA</t>
  </si>
  <si>
    <t>CH_2SPM06RW +16506819470
AplPay DD *DOORDASHDASHPASS
SAN FRANCISCO
CA
+16506819470</t>
  </si>
  <si>
    <t>303 2ND ST
SUITE 800</t>
  </si>
  <si>
    <t>94107</t>
  </si>
  <si>
    <t>320260140389321013</t>
  </si>
  <si>
    <t>Restaurant-Restaurant</t>
  </si>
  <si>
    <t>01/08/2026</t>
  </si>
  <si>
    <t>BOJANGLES 0815      ROANOKE             VA</t>
  </si>
  <si>
    <t>47749368    301-721-2900
BOJANGLES 0815
ROANOKE
VA
Description : BUSINESS SERVICES Price : 0.00
301-721-2900</t>
  </si>
  <si>
    <t>4510 BRAMBLETON AVE</t>
  </si>
  <si>
    <t>ROANOKE
VA</t>
  </si>
  <si>
    <t>24018</t>
  </si>
  <si>
    <t>320260090249456856</t>
  </si>
  <si>
    <t>Restaurant-Bar &amp; Café</t>
  </si>
  <si>
    <t>01/02/2026</t>
  </si>
  <si>
    <t>00019494   00236397         22901
400
EXXONMOBIL
CHARLOTTESVIL
VA
400
00236397         22901</t>
  </si>
  <si>
    <t>320260030086993976</t>
  </si>
  <si>
    <t>EXXONMOBIL          ROANOKE             VA</t>
  </si>
  <si>
    <t>PAUL MEADOWS</t>
  </si>
  <si>
    <t>-51052</t>
  </si>
  <si>
    <t>00910036   00312961         24019
400
412
EXXONMOBIL
ROANOKE
VA
400
412
00312961         24019</t>
  </si>
  <si>
    <t>320260030086527903</t>
  </si>
  <si>
    <t>01/09/2026</t>
  </si>
  <si>
    <t>00024507   00254875         22901
400
EXXONMOBIL
CHARLOTTESVIL
VA
400
00254875         22901</t>
  </si>
  <si>
    <t>320260100276969944</t>
  </si>
  <si>
    <t>01/17/2026</t>
  </si>
  <si>
    <t>6MBMAY2VHMG MERCHANDISE
AMAZON.COM
AMZN.COM/BILL
WA
MERCHANDISE</t>
  </si>
  <si>
    <t>320260180496059337</t>
  </si>
  <si>
    <t>7 DAY JR 3          CHARLOTTESVIL       VA</t>
  </si>
  <si>
    <t>DARREN GLEITZ</t>
  </si>
  <si>
    <t>-51029</t>
  </si>
  <si>
    <t>48600062    201-647-5202
7 DAY JR 3
CHARLOTTESVIL
VA
Description : GROCERIES/SUNDRIES Price : 0.00
201-647-5202</t>
  </si>
  <si>
    <t>111 MAURY AVE</t>
  </si>
  <si>
    <t>CHARLOTTESVILLE
VA</t>
  </si>
  <si>
    <t>22903</t>
  </si>
  <si>
    <t>320260100273554436</t>
  </si>
  <si>
    <t>00787197    434-296-3790
BP#8334740VIRGINIA OIL #
CHARLOTTESVIL
VA
Description : Unleaded Regular Price : 0.00
434-296-3790</t>
  </si>
  <si>
    <t>320260230631735096</t>
  </si>
  <si>
    <t>01/23/2026</t>
  </si>
  <si>
    <t>PILOT_04649 04649   RAPHINE             VA</t>
  </si>
  <si>
    <t>Danny fritz</t>
  </si>
  <si>
    <t>-51086</t>
  </si>
  <si>
    <t>00000087908 GAS STATION
PILOT_04649 04649
RAPHINE
VA
GAS STATION</t>
  </si>
  <si>
    <t>713 OAKLAND CIR</t>
  </si>
  <si>
    <t>RAPHINE
VA</t>
  </si>
  <si>
    <t>24472</t>
  </si>
  <si>
    <t>320260240662760561</t>
  </si>
  <si>
    <t>01/12/2026</t>
  </si>
  <si>
    <t>AMAZON MARKEPLACE NA PA</t>
  </si>
  <si>
    <t>1740D6K0DSO MERCHANDISE
AMAZON MARKETPLACE NA PA
AMZN.COM/BILL
WA
MERCHANDISE</t>
  </si>
  <si>
    <t>AMAZON MARKETPLACE NAMZN.COM/BILL       WA</t>
  </si>
  <si>
    <t>320260130341239851</t>
  </si>
  <si>
    <t>00761429   00761429         22901
Miscellaneous Parts / Serv
BP#8334740VIRGINIA OIL #
CHARLOTTESVIL
VA
Miscellaneous Parts / Serv
00761429         22901</t>
  </si>
  <si>
    <t>320260100277019267</t>
  </si>
  <si>
    <t>EXTREME PIZZA 436845CHARLOTTESVIL       VA</t>
  </si>
  <si>
    <t>73011006019 HSSRLLC@GMAIL.COM
EXTREME PIZZA 436845560315268
CHARLOTTESVIL
VA
HSSRLLC@GMAIL.COM</t>
  </si>
  <si>
    <t>355 MERCHANT WALK SQ
STE 200</t>
  </si>
  <si>
    <t>22902</t>
  </si>
  <si>
    <t>320260200532670892</t>
  </si>
  <si>
    <t>no</t>
  </si>
  <si>
    <t>ADVANCE AUTO PARTS  ROANOKE             VA</t>
  </si>
  <si>
    <t>0006996    261003251801     24065
TOGGLE ONOFF 15 AMP 1 PC
TOGGLE SWITCH 1 EA CNDCT
RING TERMINAL 20 PC CNDCT
ADVANCE AUTO PARTS
ROANOKE
VA
TOGGLE ONOFF 15 AMP 1 PC
TOGGLE SWITCH 1 EA CNDCT
RING TERMINAL 20 PC CNDCT
261003251801     24065</t>
  </si>
  <si>
    <t>509 24TH ST NORTH WEST</t>
  </si>
  <si>
    <t>24017-5339</t>
  </si>
  <si>
    <t>320260250689293872</t>
  </si>
  <si>
    <t>Transportation-Auto Services</t>
  </si>
  <si>
    <t>6PRY2XCXY80 MERCHANDISE
AMAZON.COM
AMZN.COM/BILL
WA
MERCHANDISE</t>
  </si>
  <si>
    <t>320260230631795587</t>
  </si>
  <si>
    <t>LOWE'S              CHARLOTTESVILLE     VA</t>
  </si>
  <si>
    <t>INV # 90076 434-975-7140
LOWE'S
CHARLOTTESVILLE
VA
434-975-7140</t>
  </si>
  <si>
    <t>400 WOODBROOK DR</t>
  </si>
  <si>
    <t>22901</t>
  </si>
  <si>
    <t>320260050126479970</t>
  </si>
  <si>
    <t>Merchandise &amp; Supplies-Hardware Supplies</t>
  </si>
  <si>
    <t>01/16/2026</t>
  </si>
  <si>
    <t>00029785   00163453         22901
400
EXXONMOBIL
CHARLOTTESVIL
VA
400
00163453         22901</t>
  </si>
  <si>
    <t>320260170469277503</t>
  </si>
  <si>
    <t>MARATHON 49999      GRETNA              VA</t>
  </si>
  <si>
    <t>0351126     434-656-3170
MARATHON 49999
GRETNA
VA
Description : GAS/SERVICES Price : 0.00
434-656-3170</t>
  </si>
  <si>
    <t>539 SOUTH MAIN ST</t>
  </si>
  <si>
    <t>FINDLAY
OH</t>
  </si>
  <si>
    <t>45840-3229</t>
  </si>
  <si>
    <t>320260250689511279</t>
  </si>
  <si>
    <t>CHRISTIANS PIZZA 650CHARLOTTESVIL       VA</t>
  </si>
  <si>
    <t xml:space="preserve">10156320260 4342425521
CHRISTIANS PIZZA 650000012300656
CHARLOTTESVIL
VA
</t>
  </si>
  <si>
    <t>601 FIFTH ST LNDG
STE 104</t>
  </si>
  <si>
    <t>320260140367334867</t>
  </si>
  <si>
    <t>01/20/2026</t>
  </si>
  <si>
    <t>UNION 76 09493727   APPOMATTOX          VA</t>
  </si>
  <si>
    <t>11917097079 UNION 76
UNION 76 09493727
APPOMATTOX
VA
UNION 76</t>
  </si>
  <si>
    <t>411 SOUTH KEELER</t>
  </si>
  <si>
    <t>BARTLESVILLE
OK</t>
  </si>
  <si>
    <t>74004</t>
  </si>
  <si>
    <t>320260210576235782</t>
  </si>
  <si>
    <t>LATE FEE</t>
  </si>
  <si>
    <t xml:space="preserve">LATE FEE
</t>
  </si>
  <si>
    <t>320260233641727826</t>
  </si>
  <si>
    <t>Fees &amp; Adjustments-Fees &amp; Adjustments</t>
  </si>
  <si>
    <t>00910030    540-389-0417
EXXONMOBIL
ROANOKE
VA
Description : 001 Price : 0.00
540-389-0417</t>
  </si>
  <si>
    <t>CUST SVC 1 800 243 9966</t>
  </si>
  <si>
    <t>320260030087305632</t>
  </si>
  <si>
    <t>O'REILLY 6407 6407  CHARLOTTESVIL       VA</t>
  </si>
  <si>
    <t>00432167    800-755-6759
O'REILLY 6407 6407
CHARLOTTESVIL
VA
Description : AUTO PARTS/ACCESSOR Price : 0.00
800-755-6759</t>
  </si>
  <si>
    <t>1242 RICHMOND RD</t>
  </si>
  <si>
    <t>22911</t>
  </si>
  <si>
    <t>320260130357379495</t>
  </si>
  <si>
    <t>U.S. CELLULAR U.S. C8889449400          IL</t>
  </si>
  <si>
    <t>452255763   8889449400
U.S. CELLULAR U.S. Cellular
8889449400
IL
8889449400</t>
  </si>
  <si>
    <t>8410 WEST BRYN MAWR AVE
STE 700</t>
  </si>
  <si>
    <t>CHICAGO
IL</t>
  </si>
  <si>
    <t>60631-3418</t>
  </si>
  <si>
    <t>320260200542239745</t>
  </si>
  <si>
    <t>Communications-Mobile Telecom</t>
  </si>
  <si>
    <t>IC* INSTACART       SAN FRANCISCO       CA</t>
  </si>
  <si>
    <t>7GWXNEGR   1912204726041019694105
IC* INSTACART
SAN FRANCISCO
CA
1912204726041019694105</t>
  </si>
  <si>
    <t>320260220595175129</t>
  </si>
  <si>
    <t>01/26/2026</t>
  </si>
  <si>
    <t>0352669     434-656-3170
MARATHON 49999
GRETNA
VA
Description : GAS/SERVICES Price : 0.00
434-656-3170</t>
  </si>
  <si>
    <t>320260270731460727</t>
  </si>
  <si>
    <t>Q-CARD #310         ROANOKE             VA</t>
  </si>
  <si>
    <t>2144-5899   AUTO FUEL DISPENSER
Q-CARD #310
ROANOKE
VA
Description : FUEL Price : 0.027
AUTO FUEL DISPENSER</t>
  </si>
  <si>
    <t>2213 SHENANDOAH AVE NORTH WEST</t>
  </si>
  <si>
    <t>24017</t>
  </si>
  <si>
    <t>320260250680132641</t>
  </si>
  <si>
    <t>01/14/2026</t>
  </si>
  <si>
    <t>00161653    540-774-8644
EXXONMOBIL
ROANOKE
VA
Description : 001 Price : 0.00
540-774-8644</t>
  </si>
  <si>
    <t>320260150409544791</t>
  </si>
  <si>
    <t>AplPay PILOT_04649 0RAPHINE             VA</t>
  </si>
  <si>
    <t>00000070654 AUTO FUEL DISPENSER
AplPay PILOT_04649 04649
RAPHINE
VA
AUTO FUEL DISPENSER</t>
  </si>
  <si>
    <t>320260240662776014</t>
  </si>
  <si>
    <t>01/25/2026</t>
  </si>
  <si>
    <t>FOOD LION #2529     GRETNA              VA</t>
  </si>
  <si>
    <t>807570      GROCERY STORE
FOOD LION #2529
GRETNA
VA
GROCERY STORE</t>
  </si>
  <si>
    <t>100 VADEN DR</t>
  </si>
  <si>
    <t>GRETNA
VA</t>
  </si>
  <si>
    <t>24557</t>
  </si>
  <si>
    <t>320260260707021672</t>
  </si>
  <si>
    <t>UBER EATS           help.uber.com       CA</t>
  </si>
  <si>
    <t>1ZVEDCE2   3VYL53KS         94103
UBER EATS
help.uber.com
CA
3VYL53KS         94103</t>
  </si>
  <si>
    <t>1455 MARKET ST
-</t>
  </si>
  <si>
    <t>94103</t>
  </si>
  <si>
    <t>320260090238485270</t>
  </si>
  <si>
    <t>MASHUMEN            CHARLOTTESVIL       VA</t>
  </si>
  <si>
    <t>65769786    434-400-9007
MASHUMEN
CHARLOTTESVIL
VA
Description : BUSINESS SERVICES Price : 0.00
434-400-9007</t>
  </si>
  <si>
    <t>2208 FONTAINE AVE</t>
  </si>
  <si>
    <t>320260130361939558</t>
  </si>
  <si>
    <t>5R1EFZCW0ZL MERCHANDISE
AMAZON MARKETPLACE NA PA
AMZN.COM/BILL
WA
MERCHANDISE</t>
  </si>
  <si>
    <t>320260140378239564</t>
  </si>
  <si>
    <t>01/10/2026</t>
  </si>
  <si>
    <t>10041 CAVA BARRACKS CHARLOTTESVILLE     VA</t>
  </si>
  <si>
    <t>2111        RESTAURANT
10041 CAVA BARRACKS
CHARLOTTESVILLE
VA
RESTAURANT</t>
  </si>
  <si>
    <t>1200 NORTH EMMET ST
BLDG 100</t>
  </si>
  <si>
    <t>320260110296091292</t>
  </si>
  <si>
    <t>01/03/2026</t>
  </si>
  <si>
    <t>TST* TIMBERWOOD TAP CHARLOTTESVILLE     VA</t>
  </si>
  <si>
    <t>21105176004 RESTAURANT
TST* TIMBERWOOD TAP HOUSE 00081673
CHARLOTTESVILLE
VA
RESTAURANT</t>
  </si>
  <si>
    <t>245 MERCHANT WALK AVE
STE 100</t>
  </si>
  <si>
    <t>320260040106743555</t>
  </si>
  <si>
    <t>2144-5903   AUTO FUEL DISPENSER
Q-CARD #310
ROANOKE
VA
Description : FUEL Price : 0.027
AUTO FUEL DISPENSER</t>
  </si>
  <si>
    <t>320260250680169273</t>
  </si>
  <si>
    <t>4YFNCQF885M MERCHANDISE
AMAZON.COM
AMZN.COM/BILL
WA
MERCHANDISE</t>
  </si>
  <si>
    <t>320260200554912303</t>
  </si>
  <si>
    <t>SHAWARMA KING LLC   Charlottesvle       VA</t>
  </si>
  <si>
    <t>60020064737 4342843827
SHAWARMA KING LLC
Charlottesvle
VA
4342843827</t>
  </si>
  <si>
    <t>407 GARRETT ST
APT A</t>
  </si>
  <si>
    <t>22902-5638</t>
  </si>
  <si>
    <t>320260010012607587</t>
  </si>
  <si>
    <t>01/11/2026</t>
  </si>
  <si>
    <t>1220 SEMINOLE TRL 57CHARLOTTESVILLE     VA</t>
  </si>
  <si>
    <t>00000005459 4349731005
1220 SEMINOLE TRL 57546560707
CHARLOTTESVILLE
VA
4349731005</t>
  </si>
  <si>
    <t>12700 NORTHBOROUGH DR</t>
  </si>
  <si>
    <t>HOUSTON
TX</t>
  </si>
  <si>
    <t>77067-2552</t>
  </si>
  <si>
    <t>320260120325883082</t>
  </si>
  <si>
    <t>AIRBNB * HMCQE9HKNE SAN FRANCISCO       CA</t>
  </si>
  <si>
    <t>30PTQMKZ    4158005959
AIRBNB * HMCQE9HKNE
SAN FRANCISCO
CA
4158005959</t>
  </si>
  <si>
    <t>888 BRANNAN ST FL 4</t>
  </si>
  <si>
    <t>320260030090679445</t>
  </si>
  <si>
    <t>Travel-Travel Agencies</t>
  </si>
  <si>
    <t>2114-5424   AUTO FUEL DISPENSER
Q-CARD #310
ROANOKE
VA
Description : FUEL Price : 0.038
AUTO FUEL DISPENSER</t>
  </si>
  <si>
    <t>320260100269543092</t>
  </si>
  <si>
    <t>01/07/2026</t>
  </si>
  <si>
    <t>DOMINO'S PIZZA      CHARLOTTESVILLE     VA</t>
  </si>
  <si>
    <t>010700001915409320000
FAST FOOD REST.
DOMINO'S PIZZA
CHARLOTTESVILLE
VA
FAST FOOD REST.
5409320000</t>
  </si>
  <si>
    <t>1147 5TH ST SOUTH WEST</t>
  </si>
  <si>
    <t>320260080219216564</t>
  </si>
  <si>
    <t>PERDUE EXTERMINATORSROANOKE             VA</t>
  </si>
  <si>
    <t>84228996008540-989-8188
PERDUE EXTERMINATORS
ROANOKE
VA
540-989-8188</t>
  </si>
  <si>
    <t>4323 OLD CAVE SPG RD</t>
  </si>
  <si>
    <t>24018-3418</t>
  </si>
  <si>
    <t>320260080203517259</t>
  </si>
  <si>
    <t>Business Services-Other Services</t>
  </si>
  <si>
    <t>01/04/2026</t>
  </si>
  <si>
    <t>RED ROOF INN 0369   MOREHEAD            KY</t>
  </si>
  <si>
    <t xml:space="preserve">7772503723  8596999050
LODGING
RED ROOF INN 0369
MOREHEAD
KY
</t>
  </si>
  <si>
    <t>175 TOMS DR</t>
  </si>
  <si>
    <t>MOREHEAD
KY</t>
  </si>
  <si>
    <t>40351-8413</t>
  </si>
  <si>
    <t>320260080205955811</t>
  </si>
  <si>
    <t>Travel-Lodging</t>
  </si>
  <si>
    <t>00032562    434-971-6614
EXXONMOBIL
CHARLOTTESVIL
VA
Description : 003 Price : 0.00
434-971-6614</t>
  </si>
  <si>
    <t>320260200548574798</t>
  </si>
  <si>
    <t>650 INDUSTRIES (EXPOPALO ALTO           CA</t>
  </si>
  <si>
    <t>CH_3SO7BDEN +14124073976
650 INDUSTRIES (EXPO)
PALO ALTO
CA
+14124073976</t>
  </si>
  <si>
    <t>616 RAMONA ST
207</t>
  </si>
  <si>
    <t>PALO ALTO
CA</t>
  </si>
  <si>
    <t>94301</t>
  </si>
  <si>
    <t>320260100260655766</t>
  </si>
  <si>
    <t>NORTHERN TOOL       BURNSVILLE          MN</t>
  </si>
  <si>
    <t>JZ42C635KB7 8002225381 / lisa.cor
8002225381 / lisa.cordes@
NORTHERN TOOL
BURNSVILLE
MN
8002225381 / lisa.cordes@</t>
  </si>
  <si>
    <t>301 ELECTRIC RD</t>
  </si>
  <si>
    <t>SALEM
VA</t>
  </si>
  <si>
    <t>24153</t>
  </si>
  <si>
    <t>320260240648357993</t>
  </si>
  <si>
    <t>SUPER 8 MOTEL       DANVILLE            VA</t>
  </si>
  <si>
    <t xml:space="preserve">1           434-799-5845
LODGING
SUPER 8 MOTEL
DANVILLE
VA
</t>
  </si>
  <si>
    <t>2385 RIVERSIDE DR</t>
  </si>
  <si>
    <t>DANVILLE
VA</t>
  </si>
  <si>
    <t>24540-4211</t>
  </si>
  <si>
    <t>320260250674668048</t>
  </si>
  <si>
    <t>320260250674670568</t>
  </si>
  <si>
    <t>320260250675361367</t>
  </si>
  <si>
    <t>320260250675364017</t>
  </si>
  <si>
    <t>320260250675537162</t>
  </si>
  <si>
    <t>320260250675542521</t>
  </si>
  <si>
    <t>00028972    434-971-6614
EXXONMOBIL
CHARLOTTESVIL
VA
Description : 019 Price : 0.00
434-971-6614</t>
  </si>
  <si>
    <t>320260160438556062</t>
  </si>
  <si>
    <t>FYS5X5D2   1901561095040352094105
IC* COSTCO BY INSTACAR
SAN FRANCISCO
CA
1901561095040352094105</t>
  </si>
  <si>
    <t>320260100268574299</t>
  </si>
  <si>
    <t>00027419    434-971-6614
EXXONMOBIL
CHARLOTTESVIL
VA
Description : 019 Price : 0.00
434-971-6614</t>
  </si>
  <si>
    <t>320260140382965589</t>
  </si>
  <si>
    <t>50VJMNC12OD MERCHANDISE
AMAZON MARKETPLACE NA PA
AMZN.COM/BILL
WA
MERCHANDISE</t>
  </si>
  <si>
    <t>320260070181519698</t>
  </si>
  <si>
    <t>00761410    434-296-3790
BP#8334740VIRGINIA OIL #
CHARLOTTESVIL
VA
Description : Unleaded Super Price : 0.00
434-296-3790</t>
  </si>
  <si>
    <t>320260100277009992</t>
  </si>
  <si>
    <t>WESTERN SIZZLIN WOODCHARLOTTESVIL       VA</t>
  </si>
  <si>
    <t>730110060120111010000382    22901
WESTERN SIZZLIN WOOD GRIL 068880021760
CHARLOTTESVIL
VA
0111010000382    22901</t>
  </si>
  <si>
    <t>576 BR LANDS BLVD</t>
  </si>
  <si>
    <t>320260120312396024</t>
  </si>
  <si>
    <t>KROGER FUEL         ROANOKE             VA</t>
  </si>
  <si>
    <t>99999996009 8008533033
KROGER FUEL
ROANOKE
VA
Description : AUTOMATED FUEL Price : 1.342
8008533033</t>
  </si>
  <si>
    <t>4404 BRAMBLETON AVE</t>
  </si>
  <si>
    <t>320260100281134354</t>
  </si>
  <si>
    <t>MICROSOFT           MSBILL.INFO</t>
  </si>
  <si>
    <t>CURT STAMPER</t>
  </si>
  <si>
    <t>-51011</t>
  </si>
  <si>
    <t>Z731IRQHN38Z731IRQHN386     98052
MICROSOFT
MSBILL.INFO
Z731IRQHN386     98052</t>
  </si>
  <si>
    <t>1 MICROSOFT WAY</t>
  </si>
  <si>
    <t>REDMOND
WA</t>
  </si>
  <si>
    <t>98052</t>
  </si>
  <si>
    <t>320260090235488191</t>
  </si>
  <si>
    <t>BP#2020741BROWN'S   CHARLOTTESVIL       VA</t>
  </si>
  <si>
    <t>00423581   00423581         22902
General Merchandise
BP#2020741BROWN'S
CHARLOTTESVIL
VA
General Merchandise
00423581         22902</t>
  </si>
  <si>
    <t>320260060164450931</t>
  </si>
  <si>
    <t>00027450    434-971-6614
EXXONMOBIL
CHARLOTTESVIL
VA
Description : 019 Price : 0.00
434-971-6614</t>
  </si>
  <si>
    <t>320260140382992442</t>
  </si>
  <si>
    <t>00000033890 AUTO FUEL DISPENSER
AplPay PILOT_04649 04649
RAPHINE
VA
AUTO FUEL DISPENSER</t>
  </si>
  <si>
    <t>320260240662751630</t>
  </si>
  <si>
    <t>01/21/2026</t>
  </si>
  <si>
    <t>TRACTOR SUPPLY CO   APPOMATTOX          VA</t>
  </si>
  <si>
    <t>3000348954 8668724850
Retail Store
TRACTOR SUPPLY CO
APPOMATTOX
VA
Retail Store
8668724850</t>
  </si>
  <si>
    <t>7645 RICHMOND HWY</t>
  </si>
  <si>
    <t>APPOMATTOX
VA</t>
  </si>
  <si>
    <t>24522</t>
  </si>
  <si>
    <t>320260220599020855</t>
  </si>
  <si>
    <t>FOOD LION #0238     CHARLOTTESVIL       VA</t>
  </si>
  <si>
    <t>898478      GROCERY STORE
FOOD LION #0238
CHARLOTTESVIL
VA
GROCERY STORE</t>
  </si>
  <si>
    <t>1131 5TH ST SOUTH WEST</t>
  </si>
  <si>
    <t>320260210575578260</t>
  </si>
  <si>
    <t>*</t>
  </si>
  <si>
    <t>KORNER RESTAURANT   Charlottsville      VA</t>
  </si>
  <si>
    <t>fDA9t4Zg63v squareup.com/receipts
KORNER RESTAURANT
Charlottsville
VA
squareup.com/receipts</t>
  </si>
  <si>
    <t>415 ROOSEVELT BROWN BLVD</t>
  </si>
  <si>
    <t>320260080210702096</t>
  </si>
  <si>
    <t>01/18/2026</t>
  </si>
  <si>
    <t>EXXONMOBIL          WAYNESBORO          VA</t>
  </si>
  <si>
    <t>00255459    540-949-5818
EXXONMOBIL
WAYNESBORO
VA
Description : 019 Price : 0.00
540-949-5818</t>
  </si>
  <si>
    <t>320260190519529194</t>
  </si>
  <si>
    <t>99999996011 8008533033
KROGER FUEL
ROANOKE
VA
Description : AUTOMATED FUEL Price : 1.6982
8008533033</t>
  </si>
  <si>
    <t>320260120330144488</t>
  </si>
  <si>
    <t>TST* LAZY PARROT WINCHARLOTTESVIL       VA</t>
  </si>
  <si>
    <t>99999996001 4342440723
TST* LAZY PARROT WINGS AN 300612890
CHARLOTTESVIL
VA
Description : BARS Price : 1.7005
4342440723</t>
  </si>
  <si>
    <t>594 SOUTH PANTOPS DR</t>
  </si>
  <si>
    <t>320260010025473038</t>
  </si>
  <si>
    <t>99999996006 8008533033
KROGER FUEL
ROANOKE
VA
Description : AUTOMATED FUEL Price : 1.7463
8008533033</t>
  </si>
  <si>
    <t>320260070194261241</t>
  </si>
  <si>
    <t>98767435    434-400-9007
MASHUMEN
CHARLOTTESVIL
VA
Description : BUSINESS SERVICES Price : 0.00
434-400-9007</t>
  </si>
  <si>
    <t>320260050144947706</t>
  </si>
  <si>
    <t>REPUBLIC SERVICES TRPHOENIX             AZ</t>
  </si>
  <si>
    <t>53766410505537664105052     85054
UTILITIES
REPUBLIC SERVICES TRASH
PHOENIX
AZ
UTILITIES
537664105052     85054</t>
  </si>
  <si>
    <t>18500 NORTH ALLIED WAY STE 100</t>
  </si>
  <si>
    <t>PHOENIX
AZ</t>
  </si>
  <si>
    <t>85054</t>
  </si>
  <si>
    <t>320260140390281866</t>
  </si>
  <si>
    <t>Other-Utilities</t>
  </si>
  <si>
    <t>5MTW4DCG   1909072295641252094105
IC* COSTCO BY INSTACAR
SAN FRANCISCO
CA
1909072295641252094105</t>
  </si>
  <si>
    <t>320260180482588602</t>
  </si>
  <si>
    <t>AplPay AIRBNB * HMCNSAN FRANCISCO       CA</t>
  </si>
  <si>
    <t>D8QC6X9D    4158005959
AplPay AIRBNB * HMCNHQQ4ST
SAN FRANCISCO
CA
4158005959</t>
  </si>
  <si>
    <t>320260250675856205</t>
  </si>
  <si>
    <t>VWG8ZU5GQTN MERCHANDISE
AMAZON MARKETPLACE NA PA
AMZN.COM/BILL
WA
MERCHANDISE</t>
  </si>
  <si>
    <t>320260190527392528</t>
  </si>
  <si>
    <t>BJS.COM #5490 000005MARLBOROUGH         MA</t>
  </si>
  <si>
    <t>279991317  279991317        01752
WHOLESALE CLUBS
BJS.COM #5490 000005490
MARLBOROUGH
MA
WHOLESALE CLUBS
279991317        01752</t>
  </si>
  <si>
    <t>25 RESEARCH DR</t>
  </si>
  <si>
    <t>WESTBOROUGH
MA</t>
  </si>
  <si>
    <t>01581</t>
  </si>
  <si>
    <t>320260060164172962</t>
  </si>
  <si>
    <t>Merchandise &amp; Supplies-Wholesale Stores</t>
  </si>
  <si>
    <t>ADVANCE AUTO PARTS #LYNCHBURG           VA</t>
  </si>
  <si>
    <t>0000278    787804127901     24551
OIL FILTER 1 EA MBL 1
GTX HM 5W20 5QT 5 QT CSTR
OIL 5W30 GTX HM 5 QT CSTR
ADVANCE AUTO PARTS #7878 107878
LYNCHBURG
VA
OIL FILTER 1 EA MBL 1
GTX HM 5W20 5QT 5 QT CSTR
OIL 5W30 GTX HM 5 QT CSTR
787804127901     24551</t>
  </si>
  <si>
    <t>13955 WARDS RD</t>
  </si>
  <si>
    <t>24501</t>
  </si>
  <si>
    <t>320260180494424787</t>
  </si>
  <si>
    <t>Transportation-Vehicle Leasing &amp; Purchase</t>
  </si>
  <si>
    <t>PILOT_00396 00396   STAUNTON            VA</t>
  </si>
  <si>
    <t>00000062230 AUTO FUEL DISPENSER
PILOT_00396 00396
STAUNTON
VA
AUTO FUEL DISPENSER</t>
  </si>
  <si>
    <t>3541 LEE JACKSON HWY</t>
  </si>
  <si>
    <t>STAUNTON
VA</t>
  </si>
  <si>
    <t>24401</t>
  </si>
  <si>
    <t>320260210580301535</t>
  </si>
  <si>
    <t>KROGER              ROCKY MOUNT         VA</t>
  </si>
  <si>
    <t>999999960248008533033
GROCERY STORES
KROGER
ROCKY MOUNT
VA
GROCERY STORES
8008533033</t>
  </si>
  <si>
    <t>400 OLD FRANKLIN TPKE STE 110</t>
  </si>
  <si>
    <t>ROCKY MOUNT
VA</t>
  </si>
  <si>
    <t>24151</t>
  </si>
  <si>
    <t>320260250691593086</t>
  </si>
  <si>
    <t>KIVAS AUTOMOTIVE 00-APPOMATTOX          VA</t>
  </si>
  <si>
    <t>31099536022 434-2216809
KIVAS AUTOMOTIVE 00-08041541973
APPOMATTOX
VA
434-2216809</t>
  </si>
  <si>
    <t>1568 CONFEDERATE BLVD</t>
  </si>
  <si>
    <t>320260230635184814</t>
  </si>
  <si>
    <t>AIRBNB * INC        SAN FRANCISCO       CA</t>
  </si>
  <si>
    <t>2WJYRXJT    4158005959
AIRBNB * INC
SAN FRANCISCO
CA
4158005959</t>
  </si>
  <si>
    <t>320260240648541723</t>
  </si>
  <si>
    <t>6UYLW6P13J4 MERCHANDISE
AMAZON.COM
AMZN.COM/BILL
WA
MERCHANDISE</t>
  </si>
  <si>
    <t>320260130345151109</t>
  </si>
  <si>
    <t>GINGERICH OUTDOOR POCHARLOTTESVIL       VA</t>
  </si>
  <si>
    <t>85179246004434-296-3249
GINGERICH OUTDOOR POWE
CHARLOTTESVIL
VA
434-296-3249</t>
  </si>
  <si>
    <t>925 HARRIS ST</t>
  </si>
  <si>
    <t>320260040095557466</t>
  </si>
  <si>
    <t>PSNN1JG0    4158005959
AplPay AIRBNB * HMCNHQQ4ST
SAN FRANCISCO
CA
4158005959</t>
  </si>
  <si>
    <t>320260240648443087</t>
  </si>
  <si>
    <t>PILOT_00660 00660   CATLETTSBURG        KY</t>
  </si>
  <si>
    <t>00000080530 AUTO FUEL DISPENSER
PILOT_00660 00660
CATLETTSBURG
KY
AUTO FUEL DISPENSER</t>
  </si>
  <si>
    <t>15300 STATE RTE 180</t>
  </si>
  <si>
    <t>CATLETTSBURG
KY</t>
  </si>
  <si>
    <t>41129-9211</t>
  </si>
  <si>
    <t>320260150412673829</t>
  </si>
  <si>
    <t>HARBOR FREIGHT TOOLSROANOKE             VA</t>
  </si>
  <si>
    <t>00143058912 800-444-3353
HARBOR FREIGHT TOOLS
ROANOKE
VA
Description : GENERAL MERCHANDISE Price : 0.00
800-444-3353</t>
  </si>
  <si>
    <t>4142 MELROSE AVE NORTH WEST STE 7</t>
  </si>
  <si>
    <t>320260250684417094</t>
  </si>
  <si>
    <t>00000068354 AUTO FUEL DISPENSER
PILOT_00396 00396
STAUNTON
VA
AUTO FUEL DISPENSER</t>
  </si>
  <si>
    <t>320260240662719741</t>
  </si>
  <si>
    <t>00000012006 AUTO FUEL DISPENSER
PILOT_00396 00396
STAUNTON
VA
AUTO FUEL DISPENSER</t>
  </si>
  <si>
    <t>320260200550839686</t>
  </si>
  <si>
    <t>SLEEP INN &amp; SUITES  CHARLOTTESVILLE     VA</t>
  </si>
  <si>
    <t xml:space="preserve">0867251777  434-244-9969
LODGING
SLEEP INN &amp; SUITES
CHARLOTTESVILLE
VA
</t>
  </si>
  <si>
    <t>1185 5TH ST SOUTH WEST</t>
  </si>
  <si>
    <t>22902-6466</t>
  </si>
  <si>
    <t>320260210569400104</t>
  </si>
  <si>
    <t xml:space="preserve">0867251911  434-244-9969
LODGING
SLEEP INN &amp; SUITES
CHARLOTTESVILLE
VA
</t>
  </si>
  <si>
    <t>320260210569400128</t>
  </si>
  <si>
    <t xml:space="preserve">0865996442  434-244-9969
LODGING
SLEEP INN &amp; SUITES
CHARLOTTESVILLE
VA
</t>
  </si>
  <si>
    <t>320260140374581590</t>
  </si>
  <si>
    <t xml:space="preserve">0865996788  434-244-9969
LODGING
SLEEP INN &amp; SUITES
CHARLOTTESVILLE
VA
</t>
  </si>
  <si>
    <t>320260140374581611</t>
  </si>
  <si>
    <t>HOLIDAY INN MONTICELCHARLOTTESVIL       VA</t>
  </si>
  <si>
    <t xml:space="preserve">18124272    434-977-5100
LODGING
HOLIDAY INN MONTICELLO CHOSO
CHARLOTTESVIL
VA
</t>
  </si>
  <si>
    <t>1200 5TH ST SOUTH WEST</t>
  </si>
  <si>
    <t>22902-6454</t>
  </si>
  <si>
    <t>320260170459390276</t>
  </si>
  <si>
    <t xml:space="preserve">77496528    434-977-5100
LODGING
HOLIDAY INN MONTICELLO CHOSO
CHARLOTTESVIL
VA
</t>
  </si>
  <si>
    <t>320260240653636820</t>
  </si>
  <si>
    <t xml:space="preserve">019906405   434-3854902
ENTERPRISE RENT A TRUCK
LYNCHBURG
VA
</t>
  </si>
  <si>
    <t>320260240664296526</t>
  </si>
  <si>
    <t xml:space="preserve">019906416   434-3854902
ENTERPRISE RENT A TRUCK
LYNCHBURG
VA
</t>
  </si>
  <si>
    <t>320260240664296979</t>
  </si>
  <si>
    <t>31099536016 434-2216809
KIVAS AUTOMOTIVE 00-08041541973
APPOMATTOX
VA
434-2216809</t>
  </si>
  <si>
    <t>320260170471880929</t>
  </si>
  <si>
    <t>AIRBNB * HMDXPE28F9 SAN FRANCISCO       CA</t>
  </si>
  <si>
    <t>38P9252Z    4158005959
AIRBNB * HMDXPE28F9
SAN FRANCISCO
CA
4158005959</t>
  </si>
  <si>
    <t>320260160444882762</t>
  </si>
  <si>
    <t>85179246009434-296-3249
GINGERICH OUTDOOR POWE
CHARLOTTESVIL
VA
434-296-3249</t>
  </si>
  <si>
    <t>320260090231750900</t>
  </si>
  <si>
    <t>AIRBNB * HMCNS48ZJF SAN FRANCISCO       CA</t>
  </si>
  <si>
    <t>2MJJMMNS    4158005959
AIRBNB * HMCNS48ZJF
SAN FRANCISCO
CA
4158005959</t>
  </si>
  <si>
    <t>320260080212030425</t>
  </si>
  <si>
    <t>AplPay IN *BUZZ CUTSSALEM               VA</t>
  </si>
  <si>
    <t>013I1AHB7XK5405815193
AplPay IN *BUZZ CUTS LLC
SALEM
VA
5405815193</t>
  </si>
  <si>
    <t>2014 STONE ML DR</t>
  </si>
  <si>
    <t>24153-4629</t>
  </si>
  <si>
    <t>320260130341440059</t>
  </si>
  <si>
    <t>Business Services-Professional Services</t>
  </si>
  <si>
    <t>AIRBNB * HMQERJXKBR SAN FRANCISCO       CA</t>
  </si>
  <si>
    <t>42KWZES1    4158005959
AIRBNB * HMQERJXKBR
SAN FRANCISCO
CA
4158005959</t>
  </si>
  <si>
    <t>320260180486068251</t>
  </si>
  <si>
    <t>Yes</t>
  </si>
  <si>
    <t>00757439   00757439         22901
General Merchandise
BP#8334740VIRGINIA OIL #
CHARLOTTESVIL
VA
General Merchandise
00757439         22901</t>
  </si>
  <si>
    <t>320260080218766067</t>
  </si>
  <si>
    <t>PILOT_00663 00663   WADDY               KY</t>
  </si>
  <si>
    <t>00000087523 GAS STATION
PILOT_00663 00663
WADDY
KY
GAS STATION</t>
  </si>
  <si>
    <t>1670 WADDY RD</t>
  </si>
  <si>
    <t>WADDY
KY</t>
  </si>
  <si>
    <t>40076-5030</t>
  </si>
  <si>
    <t>320260060167431129</t>
  </si>
  <si>
    <t>THE MARKET PRESTON ACHARLOTTESVILLE     VA</t>
  </si>
  <si>
    <t>10156320260 4343288266
THE MARKET PRESTON AVE 650000013529410
CHARLOTTESVILLE
VA
Description : SERVICE STATIONS Price : 0.0404
4343288266</t>
  </si>
  <si>
    <t>601 PRESTON AVE</t>
  </si>
  <si>
    <t>320260230614813840</t>
  </si>
  <si>
    <t>10156320260 4343288266
THE MARKET PRESTON AVE 650000013529410
CHARLOTTESVILLE
VA
Description : SERVICE STATIONS Price : 0.0505
4343288266</t>
  </si>
  <si>
    <t>320260080203488775</t>
  </si>
  <si>
    <t>CIRCLE K # 23478    BLAIRS              VA</t>
  </si>
  <si>
    <t>20260102   9317020815979488 24527
CIRCLE K # 23478
BLAIRS
VA
9317020815979488 24527</t>
  </si>
  <si>
    <t>9181 US HWY 29</t>
  </si>
  <si>
    <t>BLAIRS
VA</t>
  </si>
  <si>
    <t>24527</t>
  </si>
  <si>
    <t>320260040115716301</t>
  </si>
  <si>
    <t>Rct read as 7.45</t>
  </si>
  <si>
    <t>DOLLAR GENERAL #2468WELLINGTON          KY</t>
  </si>
  <si>
    <t>684079324758006789258
DOLLAR GENERAL #24685 000024685
WELLINGTON
KY
8006789258</t>
  </si>
  <si>
    <t>9698 HWY 1274</t>
  </si>
  <si>
    <t>WELLINGTON
KY</t>
  </si>
  <si>
    <t>40387</t>
  </si>
  <si>
    <t>320260150405359392</t>
  </si>
  <si>
    <t>Merchandise &amp; Supplies-General Retail</t>
  </si>
  <si>
    <t>SPEEDWAY 46619 00004ROANOKE             VA</t>
  </si>
  <si>
    <t>re8ap2cvy5k 9378643000
SPEEDWAY 46619 000046619
ROANOKE
VA
Description : SERVICE STATION Price : 0.0917
9378643000</t>
  </si>
  <si>
    <t>CITY PLACE CTR EAST
2711 NORTH HASKELL AVE</t>
  </si>
  <si>
    <t>DALLAS
TX</t>
  </si>
  <si>
    <t>75204</t>
  </si>
  <si>
    <t>320260100274217166</t>
  </si>
  <si>
    <t>SPEEDWAY 43723 00004BEDFORD             IN</t>
  </si>
  <si>
    <t>fisamzn4bv8 9378643000
SPEEDWAY 43723 000043723
BEDFORD
IN
Description : SERVICE STATION Price : 0.1003
9378643000</t>
  </si>
  <si>
    <t>320260080219809416</t>
  </si>
  <si>
    <t>AUTOZONE #0927 00000ROANOKE             VA</t>
  </si>
  <si>
    <t>628126      8002886966
AUTOZONE #0927 000000927
ROANOKE
VA
Description : LONG LIFE MINI BULB Price : 0.0999
8002886966</t>
  </si>
  <si>
    <t>4106 MELROSE AVE NORTH WEST</t>
  </si>
  <si>
    <t>320260110298589527</t>
  </si>
  <si>
    <t>LOVE'S #0574 INSIDE/ELLISTON            VA</t>
  </si>
  <si>
    <t>57400326010 GASSTATION
LOVE'S #0574 INSIDE/UNBRANDED 05740015
ELLISTON
VA
Description : UNBRANDED Price : 0.00
Description : TAX Price : 0.00
GASSTATION</t>
  </si>
  <si>
    <t>5275 NORTH FRK RD</t>
  </si>
  <si>
    <t>ELLISTON
VA</t>
  </si>
  <si>
    <t>24087</t>
  </si>
  <si>
    <t>320260050142263516</t>
  </si>
  <si>
    <t>MARATHON 253070     CLEARFIELD          KY</t>
  </si>
  <si>
    <t>0262414     859-623-6705
MARATHON 253070
CLEARFIELD
KY
Description : GAS/SERVICES Price : 0.00
859-623-6705</t>
  </si>
  <si>
    <t>320260090231803218</t>
  </si>
  <si>
    <t>MARATHON 118893     MOREHEAD            KY</t>
  </si>
  <si>
    <t>0032652     606-783-0221
MARATHON 118893
MOREHEAD
KY
Description : GAS/SERVICES Price : 0.00
606-783-0221</t>
  </si>
  <si>
    <t>320260140384758409</t>
  </si>
  <si>
    <t>CORNER MARKET 650000DANVILLE            VA</t>
  </si>
  <si>
    <t>10156320260 4346857500
CORNER MARKET 650000009048425
DANVILLE
VA
Description : SERVICE STATIONS Price : 0.1103
4346857500</t>
  </si>
  <si>
    <t>12288 MARTINSVILLE HWY</t>
  </si>
  <si>
    <t>24541</t>
  </si>
  <si>
    <t>320260140366433023</t>
  </si>
  <si>
    <t>TACO BELL 040298 040BECKLEY             WV</t>
  </si>
  <si>
    <t>a93318      423-587-0690
TACO BELL 040298 040298
BECKLEY
WV
Description : FAST FOOD RESTAURAN Price : 0.00
423-587-0690</t>
  </si>
  <si>
    <t>1937 HARPER RD</t>
  </si>
  <si>
    <t>BECKLEY
WV</t>
  </si>
  <si>
    <t>25801</t>
  </si>
  <si>
    <t>320260130346998248</t>
  </si>
  <si>
    <t>00000025097 GAS STATION
PILOT_00663 00663
WADDY
KY
GAS STATION</t>
  </si>
  <si>
    <t>320260080218758344</t>
  </si>
  <si>
    <t>COOK OUT MOREHEAD KYMOREHEAD            KY</t>
  </si>
  <si>
    <t>52000048    336-313-5226
COOK OUT MOREHEAD KY 0000000
MOREHEAD
KY
Description : FOOD/BEVERAGE Price : 0.00
336-313-5226</t>
  </si>
  <si>
    <t>275 STONE ST</t>
  </si>
  <si>
    <t>40351-1750</t>
  </si>
  <si>
    <t>320260150397876683</t>
  </si>
  <si>
    <t>10156320260 4342425521
CHRISTIANS PIZZA 650000012300656
CHARLOTTESVIL
VA
4342425521</t>
  </si>
  <si>
    <t>320260070175962127</t>
  </si>
  <si>
    <t>DOLLAR GENERAL      MOREHEAD            KY</t>
  </si>
  <si>
    <t>677499216768006789258
DOLLAR GENERAL
MOREHEAD
KY
8006789258</t>
  </si>
  <si>
    <t>1320 FLEMINGSBURG RD</t>
  </si>
  <si>
    <t>40351</t>
  </si>
  <si>
    <t>320260070192292814</t>
  </si>
  <si>
    <t>00023687   00238056         22901
400
EXXONMOBIL
CHARLOTTESVIL
VA
400
00238056         22901</t>
  </si>
  <si>
    <t>320260090245157829</t>
  </si>
  <si>
    <t>WAWA 8690 8690      CHARLOTTESVIL       VA</t>
  </si>
  <si>
    <t>0034152     610-358-8000
WAWA 8690 8690
CHARLOTTESVIL
VA
Description : GAS/SERVICES Price : 0.00
610-358-8000</t>
  </si>
  <si>
    <t>5TH ST BENT CRK RD
CHARLOTTESVILLE CITY</t>
  </si>
  <si>
    <t>320260220601629507</t>
  </si>
  <si>
    <t>00026691    434-971-6614
EXXONMOBIL
CHARLOTTESVIL
VA
Description : 019 Price : 0.00
434-971-6614</t>
  </si>
  <si>
    <t>320260130353678723</t>
  </si>
  <si>
    <t>O'REILLY 6349 6349  ROCKY MOUNT         VA</t>
  </si>
  <si>
    <t>00123116    800-755-6759
O'REILLY 6349 6349
ROCKY MOUNT
VA
Description : AUTO PARTS/ACCESSOR Price : 0.00
800-755-6759</t>
  </si>
  <si>
    <t>611 OLD FRANKLIN TPKE</t>
  </si>
  <si>
    <t>320260220608288995</t>
  </si>
  <si>
    <t>00032879   00229010         22901
400
EXXONMOBIL
CHARLOTTESVIL
VA
400
00229010         22901</t>
  </si>
  <si>
    <t>320260210574591805</t>
  </si>
  <si>
    <t>TACO BELL           MOREHEAD            KY</t>
  </si>
  <si>
    <t>186df7      603-883-6055
TACO BELL
MOREHEAD
KY
Description : FAST FOOD RESTAURAN Price : 0.00
603-883-6055</t>
  </si>
  <si>
    <t>300 OLD FLEMINGSBURG RD</t>
  </si>
  <si>
    <t>320260140374704740</t>
  </si>
  <si>
    <t>00423591   00423591         22902
General Merchandise
BP#2020741BROWN'S
CHARLOTTESVIL
VA
General Merchandise
00423591         22902</t>
  </si>
  <si>
    <t>320260060166759795</t>
  </si>
  <si>
    <t>STAPLES 00321       ROANOKE             VA</t>
  </si>
  <si>
    <t>000117926  00321000117926   24018
STPLS 1.25 RIM KEY TAG
STAPLES 00321
ROANOKE
VA
STPLS 1.25 RIM KEY TAG
00321000117926   24018</t>
  </si>
  <si>
    <t>4210 ELECTRIC RD</t>
  </si>
  <si>
    <t>320260170467126370</t>
  </si>
  <si>
    <t>Business Services-Office Supplies</t>
  </si>
  <si>
    <t>DUNKIN #365617 36561FISHERSVILLE        VA</t>
  </si>
  <si>
    <t>26201239468 856-857-4761
DUNKIN #365617 365617
FISHERSVILLE
VA
Description : FAST FOOD RESTAURAN Price : 0.00
856-857-4761</t>
  </si>
  <si>
    <t>767 TINKLING SPG RD</t>
  </si>
  <si>
    <t>FISHERSVILLE
VA</t>
  </si>
  <si>
    <t>22939</t>
  </si>
  <si>
    <t>320260210580318598</t>
  </si>
  <si>
    <t>WENDYS 354 000000354SIMPSONVILLE        KY</t>
  </si>
  <si>
    <t>1001003900110010039001      40067
FAST FOOD REST.
WENDYS 354 000000354
SIMPSONVILLE
KY
FAST FOOD REST.
10010039001      40067</t>
  </si>
  <si>
    <t>819 BUCK CRK RD</t>
  </si>
  <si>
    <t>SIMPSONVILLE
KY</t>
  </si>
  <si>
    <t>40067</t>
  </si>
  <si>
    <t>320260070187356349</t>
  </si>
  <si>
    <t>00000084902 GAS STATION
PILOT_00660 00660
CATLETTSBURG
KY
GAS STATION</t>
  </si>
  <si>
    <t>320260090247931345</t>
  </si>
  <si>
    <t>00022101   00028866         22901
400
EXXONMOBIL
CHARLOTTESVIL
VA
400
00028866         22901</t>
  </si>
  <si>
    <t>320260070188738933</t>
  </si>
  <si>
    <t>00000031444 GAS STATION
PILOT_00663 00663
WADDY
KY
GAS STATION</t>
  </si>
  <si>
    <t>320260070192648716</t>
  </si>
  <si>
    <t>00021862   00221305         22901
400
EXXONMOBIL
CHARLOTTESVIL
VA
400
00221305         22901</t>
  </si>
  <si>
    <t>320260060163071110</t>
  </si>
  <si>
    <t>ADVANCE AUTO PARTS  BEDFORD             VA</t>
  </si>
  <si>
    <t>0006642    254001738401     24523
USBFEMAL12VSOCKADAPT 24 EA TGH
ADVANCE AUTO PARTS
BEDFORD
VA
USBFEMAL12VSOCKADAPT 24 EA TGH
254001738401     24523</t>
  </si>
  <si>
    <t>1606 FRST RD</t>
  </si>
  <si>
    <t>BEDFORD
VA</t>
  </si>
  <si>
    <t>24523</t>
  </si>
  <si>
    <t>320260240662895779</t>
  </si>
  <si>
    <t>SHEETZ              FISHERSVILLE        VA</t>
  </si>
  <si>
    <t>0003948     800-487-5444
SHEETZ
FISHERSVILLE
VA
Description : GAS/SERVICES Price : 0.00
800-487-5444</t>
  </si>
  <si>
    <t>726 TINKLING SPG RD</t>
  </si>
  <si>
    <t>320260060160712457</t>
  </si>
  <si>
    <t>WAL-MART SUPERCENTERMOREHEAD            KY</t>
  </si>
  <si>
    <t>60051122366 DISCOUNT STORE
WAL-MART SUPERCENTER 1139 1139
MOREHEAD
KY
DISCOUNT STORE</t>
  </si>
  <si>
    <t>200 WALMART WAY</t>
  </si>
  <si>
    <t>320260050131510378</t>
  </si>
  <si>
    <t>MARTIN'S FOOD       WAYNESBORO          VA</t>
  </si>
  <si>
    <t>851121     28               22980
MARTIN'S FOOD
WAYNESBORO
VA
28               22980</t>
  </si>
  <si>
    <t>437 TIFFANY DR</t>
  </si>
  <si>
    <t>WAYNESBORO
VA</t>
  </si>
  <si>
    <t>22980</t>
  </si>
  <si>
    <t>320260200531342922</t>
  </si>
  <si>
    <t>LOWE'S              ROANOKE             VA</t>
  </si>
  <si>
    <t>INV # 72002 540-265-6440
LOWE'S
ROANOKE
VA
540-265-6440</t>
  </si>
  <si>
    <t>4520 CHALLENGER AVE</t>
  </si>
  <si>
    <t>24012</t>
  </si>
  <si>
    <t>320260090234522119</t>
  </si>
  <si>
    <t>O'REILLY AUTO PARTS APPOMATTOX          VA</t>
  </si>
  <si>
    <t>00030258    800-755-6759
O'REILLY AUTO PARTS
APPOMATTOX
VA
Description : AUTO PARTS/ACCESSOR Price : 0.00
800-755-6759</t>
  </si>
  <si>
    <t>1927 CONFEDERATE BLVD</t>
  </si>
  <si>
    <t>320260240664168634</t>
  </si>
  <si>
    <t>00029937    434-971-6614
EXXONMOBIL
CHARLOTTESVIL
VA
Description : 062 Price : 0.00
434-971-6614</t>
  </si>
  <si>
    <t>320260170468331138</t>
  </si>
  <si>
    <t>2O3DOFHTUUV MERCHANDISE
AMAZON MARKETPLACE NA PA
AMZN.COM/BILL
WA
MERCHANDISE</t>
  </si>
  <si>
    <t>320260120317508190</t>
  </si>
  <si>
    <t>0022577     610-358-8000
WAWA 8690 8690
CHARLOTTESVIL
VA
Description : GAS/SERVICES Price : 0.00
610-358-8000</t>
  </si>
  <si>
    <t>320260150404934896</t>
  </si>
  <si>
    <t>AUTOZONE #6464 00000CHARLOTTESVIL       VA</t>
  </si>
  <si>
    <t>121007      8002886966
AUTOZONE #6464 000006464
CHARLOTTESVIL
VA
Description : DURALAST FUEL FILTE Price : 0.0599
8002886966</t>
  </si>
  <si>
    <t>1250 SEMINOLE TRL</t>
  </si>
  <si>
    <t>320260160435111080</t>
  </si>
  <si>
    <t>THE HOME DEPOT      ROANOKE             VA</t>
  </si>
  <si>
    <t>01150462813 800-654-0688
THE HOME DEPOT
ROANOKE
VA
800-654-0688</t>
  </si>
  <si>
    <t>4176 FRANKLIN RD SOUTH WEST</t>
  </si>
  <si>
    <t>24014-5266</t>
  </si>
  <si>
    <t>320260160424426802</t>
  </si>
  <si>
    <t>AplPay TACO BELL 739ROANOKE             VA</t>
  </si>
  <si>
    <t>00336158    423-587-0690
AplPay TACO BELL 739764 739764
ROANOKE
VA
Description : FAST FOOD RESTAURAN Price : 0.00
423-587-0690</t>
  </si>
  <si>
    <t>3306 WESTMORELAND DR</t>
  </si>
  <si>
    <t>320260160430001122</t>
  </si>
  <si>
    <t>00314427    423-587-0690
AplPay TACO BELL 739764 739764
ROANOKE
VA
Description : FAST FOOD RESTAURAN Price : 0.00
423-587-0690</t>
  </si>
  <si>
    <t>320260100268468364</t>
  </si>
  <si>
    <t>TACO BELL 039731 039CHARLOTTESVIL       VA</t>
  </si>
  <si>
    <t>741671      423-587-0690
TACO BELL 039731 039731
CHARLOTTESVIL
VA
Description : FAST FOOD RESTAURAN Price : 0.00
423-587-0690</t>
  </si>
  <si>
    <t>1158 5TH ST SOUTH WEST</t>
  </si>
  <si>
    <t>320260210567169655</t>
  </si>
  <si>
    <t>FOOD LION #0464     CHATHAM             VA</t>
  </si>
  <si>
    <t>843470      GROCERY STORE
FOOD LION #0464
CHATHAM
VA
GROCERY STORE</t>
  </si>
  <si>
    <t>13701 US HWY 29
STE G</t>
  </si>
  <si>
    <t>CHATHAM
VA</t>
  </si>
  <si>
    <t>24531</t>
  </si>
  <si>
    <t>320260170469408093</t>
  </si>
  <si>
    <t>00023818    434-971-6614
EXXONMOBIL
CHARLOTTESVIL
VA
Description : 062 Price : 0.00
434-971-6614</t>
  </si>
  <si>
    <t>320260090247228703</t>
  </si>
  <si>
    <t>0013452     800-487-5444
SHEETZ
FISHERSVILLE
VA
Description : GAS/SERVICES Price : 0.00
800-487-5444</t>
  </si>
  <si>
    <t>320260130352226417</t>
  </si>
  <si>
    <t>0024211     800-487-5444
SHEETZ
FISHERSVILLE
VA
Description : GAS/SERVICES Price : 0.00
800-487-5444</t>
  </si>
  <si>
    <t>320260200543939926</t>
  </si>
  <si>
    <t>0261911     859-623-6705
MARATHON 253070
CLEARFIELD
KY
Description : GAS/SERVICES Price : 0.00
859-623-6705</t>
  </si>
  <si>
    <t>320260090231720448</t>
  </si>
  <si>
    <t>0273299     859-623-6705
MARATHON 253070
CLEARFIELD
KY
Description : GAS/SERVICES Price : 0.00
859-623-6705</t>
  </si>
  <si>
    <t>320260160442714390</t>
  </si>
  <si>
    <t>AplPay BT*DD *DOORDASAN FRANCISCO       CA</t>
  </si>
  <si>
    <t>AE1QBHYS    8559731040
AplPay BT*DD *DOORDASH DONSENORM
SAN FRANCISCO
CA
8559731040</t>
  </si>
  <si>
    <t>303 2ND ST STE S800</t>
  </si>
  <si>
    <t>320260050130226935</t>
  </si>
  <si>
    <t>VILLAGE GROCERY 1   EZEL                KY</t>
  </si>
  <si>
    <t>00423619    606-725-4667
VILLAGE GROCERY 1
EZEL
KY
Description : GAS/SERVICES Price : 0.00
606-725-4667</t>
  </si>
  <si>
    <t>14469 HWY 460 WEST</t>
  </si>
  <si>
    <t>EZEL
KY</t>
  </si>
  <si>
    <t>41425</t>
  </si>
  <si>
    <t>320260210574686926</t>
  </si>
  <si>
    <t>yes</t>
  </si>
  <si>
    <t>0281854     859-623-6705
MARATHON 253070
CLEARFIELD
KY
Description : GAS/SERVICES Price : 0.00
859-623-6705</t>
  </si>
  <si>
    <t>320260210583556369</t>
  </si>
  <si>
    <t>0283510     859-623-6705
MARATHON 253070
CLEARFIELD
KY
Description : GAS/SERVICES Price : 0.00
859-623-6705</t>
  </si>
  <si>
    <t>320260230633683933</t>
  </si>
  <si>
    <t>999999960078008533033
GROCERY STORES
KROGER
ROCKY MOUNT
VA
GROCERY STORES
8008533033</t>
  </si>
  <si>
    <t>320260080225190830</t>
  </si>
  <si>
    <t>0020349     610-358-8000
WAWA 8690 8690
CHARLOTTESVIL
VA
Description : GAS/SERVICES Price : 0.00
610-358-8000</t>
  </si>
  <si>
    <t>320260130353040617</t>
  </si>
  <si>
    <t>DON SENOR 2865940256MOREHEAD            KY</t>
  </si>
  <si>
    <t>73011006012 SERGIO@DONSENOR.COM
DON SENOR 286594025630504
MOREHEAD
KY
SERGIO@DONSENOR.COM</t>
  </si>
  <si>
    <t>1617 FLEMINGSBURG RD</t>
  </si>
  <si>
    <t>320260130357878296</t>
  </si>
  <si>
    <t>MCDONALD'S F14701 00FISHERVILLE         VA</t>
  </si>
  <si>
    <t>000012171   5404329383
MCDONALD'S F14701 000000000017656
FISHERVILLE
VA
5404329383</t>
  </si>
  <si>
    <t>715 TINKLING SPG RD</t>
  </si>
  <si>
    <t>320260060168798798</t>
  </si>
  <si>
    <t>00423585   00423585         22902
General Merchandise
BP#2020741BROWN'S
CHARLOTTESVIL
VA
General Merchandise
00423585         22902</t>
  </si>
  <si>
    <t>320260060166759717</t>
  </si>
  <si>
    <t>0285377     859-623-6705
MARATHON 253070
CLEARFIELD
KY
Description : GAS/SERVICES Price : 0.00
859-623-6705</t>
  </si>
  <si>
    <t>320260230640053742</t>
  </si>
  <si>
    <t>10156320260 4346857500
CORNER MARKET 650000009048425
DANVILLE
VA
Description : SERVICE STATIONS Price : 0.2741
4346857500</t>
  </si>
  <si>
    <t>320260090230902410</t>
  </si>
  <si>
    <t>3PFPRNBD    8559731040
AplPay BT*DD *DOORDASH MR.GATTIS
SAN FRANCISCO
CA
8559731040</t>
  </si>
  <si>
    <t>320260140374312477</t>
  </si>
  <si>
    <t>20260112   6294142722877604 24527
CIRCLE K # 23478
BLAIRS
VA
6294142722877604 24527</t>
  </si>
  <si>
    <t>320260140386717123</t>
  </si>
  <si>
    <t>00021339    434-971-6614
EXXONMOBIL
CHARLOTTESVIL
VA
Description : 019 Price : 0.00
434-971-6614</t>
  </si>
  <si>
    <t>320260060160690402</t>
  </si>
  <si>
    <t>0280146     859-623-6705
MARATHON 253070
CLEARFIELD
KY
Description : GAS/SERVICES Price : 0.00
859-623-6705</t>
  </si>
  <si>
    <t>320260200555152245</t>
  </si>
  <si>
    <t>HARDEE'S            ROANOKE             VA</t>
  </si>
  <si>
    <t>10156320260 5409895533
HARDEE'S
ROANOKE
VA
5409895533</t>
  </si>
  <si>
    <t>3729 BRAMBLETON AVE SOUTH WEST</t>
  </si>
  <si>
    <t>320260170474473175</t>
  </si>
  <si>
    <t>MARATHON 122598     MADISON HEIGH       VA</t>
  </si>
  <si>
    <t>0052669     434-929-2823
MARATHON 122598
MADISON HEIGH
VA
Description : GAS/SERVICES Price : 0.00
434-929-2823</t>
  </si>
  <si>
    <t>320260150415606918</t>
  </si>
  <si>
    <t>UBER</t>
  </si>
  <si>
    <t>AFH5GB36   E653VQCS         24018
Uber Trip
help.uber.com
CA
E653VQCS         24018</t>
  </si>
  <si>
    <t>Uber Trip           help.uber.com       CA</t>
  </si>
  <si>
    <t>1455 MARKET ST
4TH FLOOR</t>
  </si>
  <si>
    <t>320260200539495547</t>
  </si>
  <si>
    <t>Transportation-Taxis &amp; Coach</t>
  </si>
  <si>
    <t>SUNOCO 0415315100   EVINGTON            VA</t>
  </si>
  <si>
    <t>00524197    540-297-5297
SUNOCO 0415315100
EVINGTON
VA
Description : Diesel Price : 0.00
540-297-5297</t>
  </si>
  <si>
    <t>-</t>
  </si>
  <si>
    <t>-
TX</t>
  </si>
  <si>
    <t>75231</t>
  </si>
  <si>
    <t>320260210576866333</t>
  </si>
  <si>
    <t>SHEETZ              LYNCHBURG           VA</t>
  </si>
  <si>
    <t>0017283     800-487-5444
SHEETZ
LYNCHBURG
VA
Description : AUTOMATED FUEL PUMP Price : 0.00
800-487-5444</t>
  </si>
  <si>
    <t>14480 WARDS RD</t>
  </si>
  <si>
    <t>320260210573464678</t>
  </si>
  <si>
    <t>3200001046 8668724850
Retail Store
TRACTOR SUPPLY CO
APPOMATTOX
VA
Retail Store
8668724850</t>
  </si>
  <si>
    <t>320260220599125294</t>
  </si>
  <si>
    <t>WEGMANS CHARLOTTES #CHARLOTTESVIL       VA</t>
  </si>
  <si>
    <t>W12700600445854293656
WEGMANS CHARLOTTES #127 000000127
CHARLOTTESVIL
VA
5854293656</t>
  </si>
  <si>
    <t>100 WEGMANS WAY</t>
  </si>
  <si>
    <t>320260150406656603</t>
  </si>
  <si>
    <t>10156320260 4346857500
CORNER MARKET 650000009048425
DANVILLE
VA
Description : SERVICE STATIONS Price : 0.3228
4346857500</t>
  </si>
  <si>
    <t>320260080204068225</t>
  </si>
  <si>
    <t>J6V1ZV6W    8559731040
AplPay BT*DD *DOORDASH MELINICUC
SAN FRANCISCO
CA
8559731040</t>
  </si>
  <si>
    <t>320260060156407967</t>
  </si>
  <si>
    <t>MARATHON 122754     LYNCHBURG           VA</t>
  </si>
  <si>
    <t>0054208     434-845-2733
MARATHON 122754
LYNCHBURG
VA
Description : GAS/SERVICES Price : 0.00
434-845-2733</t>
  </si>
  <si>
    <t>320260240664268709</t>
  </si>
  <si>
    <t>48300114    201-647-5202
7 DAY JR 3
CHARLOTTESVIL
VA
Description : GROCERIES/SUNDRIES Price : 0.00
201-647-5202</t>
  </si>
  <si>
    <t>320260070192419515</t>
  </si>
  <si>
    <t>0024201     800-487-5444
SHEETZ
FISHERSVILLE
VA
Description : AUTOMATED FUEL PUMP Price : 0.00
800-487-5444</t>
  </si>
  <si>
    <t>320260200543937150</t>
  </si>
  <si>
    <t>10156320260 4346857500
CORNER MARKET 650000009048425
DANVILLE
VA
Description : SERVICE STATIONS Price : 0.3325
4346857500</t>
  </si>
  <si>
    <t>320260100260992057</t>
  </si>
  <si>
    <t>5VYP7877    8559731040
AplPay BT*DD *DOORDASH ZAXBYS
SAN FRANCISCO
CA
8559731040</t>
  </si>
  <si>
    <t>320260230622622282</t>
  </si>
  <si>
    <t>AUTOZONE #0906 00000DANVILLE            VA</t>
  </si>
  <si>
    <t>548877      8002886966
AUTOZONE #0906 000000906
DANVILLE
VA
Description : THREAD REP SYSTEM 1 Price : 0.3249
8002886966</t>
  </si>
  <si>
    <t>3426 RIVERSIDE DR</t>
  </si>
  <si>
    <t>320260070188783851</t>
  </si>
  <si>
    <t>0269859     859-623-6705
MARATHON 253070
CLEARFIELD
KY
Description : GAS/SERVICES Price : 0.00
859-623-6705</t>
  </si>
  <si>
    <t>320260140366429175</t>
  </si>
  <si>
    <t>0003942     800-487-5444
SHEETZ
FISHERSVILLE
VA
Description : AUTOMATED FUEL PUMP Price : 0.00
800-487-5444</t>
  </si>
  <si>
    <t>320260060162166154</t>
  </si>
  <si>
    <t>J56W2QXM    8559731040
AplPay BT*DD *DOORDASH RAISINGCA
SAN FRANCISCO
CA
8559731040</t>
  </si>
  <si>
    <t>320260040104510704</t>
  </si>
  <si>
    <t>W12700901375854293656
WEGMANS CHARLOTTES #127 000000127
CHARLOTTESVIL
VA
5854293656</t>
  </si>
  <si>
    <t>320260160436911192</t>
  </si>
  <si>
    <t>K1JFG52R    8559731040
AplPay BT*DD *DOORDASH TAKEITAWA
SAN FRANCISCO
CA
8559731040</t>
  </si>
  <si>
    <t>320260220594170910</t>
  </si>
  <si>
    <t>SHEETZ              FOREST              VA</t>
  </si>
  <si>
    <t>0045183     800-487-5444
SHEETZ
FOREST
VA
Description : AUTOMATED FUEL PUMP Price : 0.00
800-487-5444</t>
  </si>
  <si>
    <t>12259 EAST LYNCHBURG SALEM TPKE T</t>
  </si>
  <si>
    <t>FOREST
VA</t>
  </si>
  <si>
    <t>24551</t>
  </si>
  <si>
    <t>320260210572999235</t>
  </si>
  <si>
    <t>LONGWOOD SIGNWORKS  Rocky Mount         VA</t>
  </si>
  <si>
    <t>RA0g2c1aSZD squareup.com/receipts
LONGWOOD SIGNWORKS
Rocky Mount
VA
squareup.com/receipts</t>
  </si>
  <si>
    <t>17892 VIRGIL H GOODE HWY</t>
  </si>
  <si>
    <t>320260200538812794</t>
  </si>
  <si>
    <t>BP#9758533CAPL VA026APPOMATTOX          VA</t>
  </si>
  <si>
    <t>00325405    434-352-7424
BP#9758533CAPL VA0263
APPOMATTOX
VA
Description : Unleaded Regular Price : 0.00
434-352-7424</t>
  </si>
  <si>
    <t>320260220605823261</t>
  </si>
  <si>
    <t>0009589     800-487-5444
SHEETZ
LYNCHBURG
VA
Description : AUTOMATED FUEL PUMP Price : 0.00
800-487-5444</t>
  </si>
  <si>
    <t>320260170466574699</t>
  </si>
  <si>
    <t>00034724    434-971-6614
EXXONMOBIL
CHARLOTTESVIL
VA
Description : 019 Price : 0.00
434-971-6614</t>
  </si>
  <si>
    <t>320260230631094918</t>
  </si>
  <si>
    <t>0007762     800-487-5444
SHEETZ
LYNCHBURG
VA
Description : AUTOMATED FUEL PUMP Price : 0.00
800-487-5444</t>
  </si>
  <si>
    <t>320260160435997808</t>
  </si>
  <si>
    <t>11919517298 UNION 76
UNION 76 09493727
APPOMATTOX
VA
UNION 76</t>
  </si>
  <si>
    <t>320260220596009036</t>
  </si>
  <si>
    <t>HAWKINS GRAVES INC. LYNCHBURG           VA</t>
  </si>
  <si>
    <t>0          0                24018
GUIDE BAR, 20IN 325-063
HAWKINS GRAVES INC.
LYNCHBURG
VA
"GUIDE BAR, 20IN 325-063"
0                24018</t>
  </si>
  <si>
    <t>13432 WARDS RD</t>
  </si>
  <si>
    <t>24501-0000</t>
  </si>
  <si>
    <t>320260220590223203</t>
  </si>
  <si>
    <t>00323787    434-352-7424
BP#9758533CAPL VA0263
APPOMATTOX
VA
Description : Unleaded Regular Price : 0.00
434-352-7424</t>
  </si>
  <si>
    <t>320260200550829656</t>
  </si>
  <si>
    <t>00018959    434-971-6614
EXXONMOBIL
CHARLOTTESVIL
VA
Description : 019 Price : 0.00
434-971-6614</t>
  </si>
  <si>
    <t>320260030087315115</t>
  </si>
  <si>
    <t>TST* SBROCCOS DONUTSCHARLOTTESVILLE     VA</t>
  </si>
  <si>
    <t>21105176008 FAST FOOD RESTAURANT
TST* SBROCCOS DONUTS &amp; ES 00253852
CHARLOTTESVILLE
VA
FAST FOOD RESTAURANT</t>
  </si>
  <si>
    <t>115A MAURY AVE</t>
  </si>
  <si>
    <t>320260080214285226</t>
  </si>
  <si>
    <t>HARRIS TEETER       CHARLOTTESVILLE     VA</t>
  </si>
  <si>
    <t>097-0177-G 4349842900
GROCERY STORES
HARRIS TEETER
CHARLOTTESVILLE
VA
GROCERY STORES
4349842900</t>
  </si>
  <si>
    <t>975 EMMET ST
NORTH STE C</t>
  </si>
  <si>
    <t>320260140379268862</t>
  </si>
  <si>
    <t>10156320260 4346857500
CORNER MARKET 650000009048425
DANVILLE
VA
Description : SERVICE STATIONS Price : 0.4379
4346857500</t>
  </si>
  <si>
    <t>320260100259934827</t>
  </si>
  <si>
    <t>W12700201155854293656
WEGMANS CHARLOTTES #127 000000127
CHARLOTTESVIL
VA
5854293656</t>
  </si>
  <si>
    <t>320260220600487521</t>
  </si>
  <si>
    <t>UNION 76 09498239   DANVILLE            VA</t>
  </si>
  <si>
    <t>11892190207 UNION 76
UNION 76 09498239
DANVILLE
VA
UNION 76</t>
  </si>
  <si>
    <t>320260100276886694</t>
  </si>
  <si>
    <t>0010058     800-487-5444
SHEETZ
LYNCHBURG
VA
Description : AUTOMATED FUEL PUMP Price : 0.00
800-487-5444</t>
  </si>
  <si>
    <t>320260170465235473</t>
  </si>
  <si>
    <t>W12701102645854293656
WEGMANS CHARLOTTES #127 000000127
CHARLOTTESVIL
VA
5854293656</t>
  </si>
  <si>
    <t>320260060167763341</t>
  </si>
  <si>
    <t>0009551     800-487-5444
SHEETZ
LYNCHBURG
VA
Description : AUTOMATED FUEL PUMP Price : 0.00
800-487-5444</t>
  </si>
  <si>
    <t>320260170466557872</t>
  </si>
  <si>
    <t>320260140379239361</t>
  </si>
  <si>
    <t>00035339   00271662         22901
400
412
EXXONMOBIL
CHARLOTTESVIL
VA
400
412
00271662         22901</t>
  </si>
  <si>
    <t>320260230631741730</t>
  </si>
  <si>
    <t>00023819    434-971-6614
EXXONMOBIL
CHARLOTTESVIL
VA
Description : 019 Price : 0.00
434-971-6614</t>
  </si>
  <si>
    <t>320260090247231466</t>
  </si>
  <si>
    <t>31EG99KIO8D MERCHANDISE
AMAZON MARKETPLACE NA PA
AMZN.COM/BILL
WA
MERCHANDISE</t>
  </si>
  <si>
    <t>320260040114675242</t>
  </si>
  <si>
    <t>0280173     859-623-6705
MARATHON 253070
CLEARFIELD
KY
Description : GAS/SERVICES Price : 0.00
859-623-6705</t>
  </si>
  <si>
    <t>320260200555152517</t>
  </si>
  <si>
    <t>DODGE STORE #8203   BASSETT             VA</t>
  </si>
  <si>
    <t>9F39060     276-629-4324
DODGE STORE #8203   SSETT VA 000122350
BASSETT
VA
Description : GAS/MSC98  39605001 Price : 0.4875
276-629-4324</t>
  </si>
  <si>
    <t>6100 SOUTH YALE AVE
STE 600</t>
  </si>
  <si>
    <t>TULSA
OK</t>
  </si>
  <si>
    <t>74136-1922</t>
  </si>
  <si>
    <t>320260060152986099</t>
  </si>
  <si>
    <t>11892190211 UNION 76
UNION 76 09498239
DANVILLE
VA
UNION 76</t>
  </si>
  <si>
    <t>320260100275683557</t>
  </si>
  <si>
    <t>9F94018     276-629-4324
DODGE STORE #8203   SSETT VA 000122350
BASSETT
VA
Description : GAS/MSC98  94185001 Price : 0.49
276-629-4324</t>
  </si>
  <si>
    <t>320260130343565317</t>
  </si>
  <si>
    <t>9E47023     276-629-4324
DODGE STORE #8203   SSETT VA 000122350
BASSETT
VA
Description : GAS/MSC98  47235001 Price : 0.4909
276-629-4324</t>
  </si>
  <si>
    <t>320260070180242502</t>
  </si>
  <si>
    <t>W12701402125854293656
WEGMANS CHARLOTTES #127 000000127
CHARLOTTESVIL
VA
5854293656</t>
  </si>
  <si>
    <t>320260080220244260</t>
  </si>
  <si>
    <t>7125 BOOKER T WASHINWIRTZ               VA</t>
  </si>
  <si>
    <t>00000009054 5407214822
7125 BOOKER T WASHINGTON HWY 575465574
WIRTZ
VA
5407214822</t>
  </si>
  <si>
    <t>320260200548844561</t>
  </si>
  <si>
    <t>MARATHON 260398     GRETNA              VA</t>
  </si>
  <si>
    <t>0046874     540-467-4881
MARATHON 260398
GRETNA
VA
Description : GAS/SERVICES Price : 0.00
540-467-4881</t>
  </si>
  <si>
    <t>320260200552167738</t>
  </si>
  <si>
    <t>EXXONMOBIL          BOONES MILL         VA</t>
  </si>
  <si>
    <t>00087485    540-334-5180
EXXONMOBIL
BOONES MILL
VA
Description : 001 Price : 0.00
540-334-5180</t>
  </si>
  <si>
    <t>320260100276194150</t>
  </si>
  <si>
    <t>10156320260 4346857500
CORNER MARKET 650000009048425
DANVILLE
VA
"Description : FUEL DISPENSER, AUT Price : 0.52"
4346857500</t>
  </si>
  <si>
    <t>320260080204273283</t>
  </si>
  <si>
    <t>10156320260 4346857500
CORNER MARKET 650000009048425
DANVILLE
VA
"Description : FUEL DISPENSER, AUT Price : 0.5225"
4346857500</t>
  </si>
  <si>
    <t>320260070175540349</t>
  </si>
  <si>
    <t>00034722   00271349         22901
400
EXXONMOBIL
CHARLOTTESVIL
VA
400
00271349         22901</t>
  </si>
  <si>
    <t>320260230631093650</t>
  </si>
  <si>
    <t>SHEETZ 2665 2665    DALEVILLE           VA</t>
  </si>
  <si>
    <t>0036090     800-487-5444
SHEETZ 2665 2665
DALEVILLE
VA
Description : AUTOMATED FUEL PUMP Price : 0.00
800-487-5444</t>
  </si>
  <si>
    <t>1731 ROANOKE RD</t>
  </si>
  <si>
    <t>DALEVILLE
VA</t>
  </si>
  <si>
    <t>24083</t>
  </si>
  <si>
    <t>320260170465655493</t>
  </si>
  <si>
    <t>W12701100965854293656
WEGMANS CHARLOTTES #127 000000127
CHARLOTTESVIL
VA
5854293656</t>
  </si>
  <si>
    <t>320260060166721066</t>
  </si>
  <si>
    <t>11892190206 UNION 76
UNION 76 09498239
DANVILLE
VA
UNION 76</t>
  </si>
  <si>
    <t>320260100275683156</t>
  </si>
  <si>
    <t>EXXONMOBIL          AMHERST             VA</t>
  </si>
  <si>
    <t>00004836    434-381-6068
EXXONMOBIL
AMHERST
VA
Description : 001 Price : 0.00
434-381-6068</t>
  </si>
  <si>
    <t>320260150408537010</t>
  </si>
  <si>
    <t>00005067    434-381-6068
EXXONMOBIL
AMHERST
VA
Description : 001 Price : 0.00
434-381-6068</t>
  </si>
  <si>
    <t>320260160437816526</t>
  </si>
  <si>
    <t>00319589    434-352-7424
BP#9758533CAPL VA0263
APPOMATTOX
VA
Description : Unleaded Regular Price : 0.00
434-352-7424</t>
  </si>
  <si>
    <t>320260150410865505</t>
  </si>
  <si>
    <t>00323909    434-352-7424
BP#9758533CAPL VA0263
APPOMATTOX
VA
Description : Unleaded Regular Price : 0.00
434-352-7424</t>
  </si>
  <si>
    <t>320260200551275893</t>
  </si>
  <si>
    <t>EXXONMOBIL          NEWPORT             VA</t>
  </si>
  <si>
    <t>00910063    540-544-7702
EXXONMOBIL
NEWPORT
VA
Description : 001 Price : 0.00
540-544-7702</t>
  </si>
  <si>
    <t>320260130354965083</t>
  </si>
  <si>
    <t>10156320260 4346857500
CORNER MARKET 650000009048425
DANVILLE
VA
Description : SERVICE STATIONS Price : 0.57
4346857500</t>
  </si>
  <si>
    <t>320260140366975590</t>
  </si>
  <si>
    <t>0048295     800-487-5444
SHEETZ
FOREST
VA
Description : AUTOMATED FUEL PUMP Price : 0.00
800-487-5444</t>
  </si>
  <si>
    <t>320260230627555332</t>
  </si>
  <si>
    <t>10156320260 4346857500
CORNER MARKET 650000009048425
DANVILLE
VA
"Description : FUEL DISPENSER, AUT Price : 0.5775"
4346857500</t>
  </si>
  <si>
    <t>320260070175543651</t>
  </si>
  <si>
    <t>00323752    434-352-7424
BP#9758533CAPL VA0263
APPOMATTOX
VA
Description : Unleaded Regular Price : 0.00
434-352-7424</t>
  </si>
  <si>
    <t>320260200550791071</t>
  </si>
  <si>
    <t>O'REILLY AUTO PARTS ROANOKE             VA</t>
  </si>
  <si>
    <t>00464752    800-755-6759
O'REILLY AUTO PARTS
ROANOKE
VA
Description : AUTO PARTS/ACCESSOR Price : 0.00
800-755-6759</t>
  </si>
  <si>
    <t>4050 BRAMBLETON AVE</t>
  </si>
  <si>
    <t>320260170471126404</t>
  </si>
  <si>
    <t>W12700200345854293656
WEGMANS CHARLOTTES #127 000000127
CHARLOTTESVIL
VA
5854293656</t>
  </si>
  <si>
    <t>320260090246539545</t>
  </si>
  <si>
    <t>QR45GV86    8559731040
AplPay BT*DD *DOORDASH LUCKYSCHE
SAN FRANCISCO
CA
8559731040</t>
  </si>
  <si>
    <t>320260060157361799</t>
  </si>
  <si>
    <t>320260130352534300</t>
  </si>
  <si>
    <t>00326299    434-352-7424
BP#9758533CAPL VA0263
APPOMATTOX
VA
Description : Unleaded Regular Price : 0.00
434-352-7424</t>
  </si>
  <si>
    <t>320260230634727859</t>
  </si>
  <si>
    <t>STARLINK INTERNET   HAWTHORNE           CA</t>
  </si>
  <si>
    <t>Q9NWLB2C48R 3106829683 / matt.joh
3106829683 / matt.johnson
STARLINK INTERNET
HAWTHORNE
CA
3106829683 / matt.johnson</t>
  </si>
  <si>
    <t>1 ROCKET RD</t>
  </si>
  <si>
    <t>HAWTHORNE
CA</t>
  </si>
  <si>
    <t>90250</t>
  </si>
  <si>
    <t>320260150409844379</t>
  </si>
  <si>
    <t>Communications-Cable &amp; Internet Comm</t>
  </si>
  <si>
    <t>HABOR FREIGHT TOOLS3CHARLOTTESVIL       VA</t>
  </si>
  <si>
    <t>00317652511 800-444-3353
HABOR FREIGHT TOOLS3055 3055
CHARLOTTESVIL
VA
Description : HARDWARE/TOOLS Price : 0.00
800-444-3353</t>
  </si>
  <si>
    <t>440 GANDER DR</t>
  </si>
  <si>
    <t>320260130351074801</t>
  </si>
  <si>
    <t>11917097076 UNION 76
UNION 76 09493727
APPOMATTOX
VA
UNION 76</t>
  </si>
  <si>
    <t>320260210574587825</t>
  </si>
  <si>
    <t>0013443     800-487-5444
SHEETZ
FISHERSVILLE
VA
Description : AUTOMATED FUEL PUMP Price : 0.00
800-487-5444</t>
  </si>
  <si>
    <t>320260130350910036</t>
  </si>
  <si>
    <t>0017883     800-487-5444
SHEETZ
FISHERSVILLE
VA
Description : AUTOMATED FUEL PUMP Price : 0.00
800-487-5444</t>
  </si>
  <si>
    <t>320260160436022907</t>
  </si>
  <si>
    <t>GASOLINE ALLEY 16 00MOREHEAD            KY</t>
  </si>
  <si>
    <t>000081098   6067843480
GASOLINE ALLEY 16 000000000908264
MOREHEAD
KY
6067843480</t>
  </si>
  <si>
    <t>1 VALERO WAY</t>
  </si>
  <si>
    <t>SAN ANTONIO
TX</t>
  </si>
  <si>
    <t>78249</t>
  </si>
  <si>
    <t>320260270733008335</t>
  </si>
  <si>
    <t>AUTOZONE #2030 00000MADISON HEIGH       VA</t>
  </si>
  <si>
    <t>506149      8002886966
AUTOZONE #2030 000002030
MADISON HEIGH
VA
Description : ROTELLA T4 15W40 1G Price : 0.2299
8002886966</t>
  </si>
  <si>
    <t>120 GREAT OAKS DR</t>
  </si>
  <si>
    <t>MADISON HEIGHTS
VA</t>
  </si>
  <si>
    <t>24572</t>
  </si>
  <si>
    <t>320260150405333406</t>
  </si>
  <si>
    <t>TACO BELL 039732 039CHARLOTTESVIL       VA</t>
  </si>
  <si>
    <t>c56239      423-587-0690
TACO BELL 039732 039732
CHARLOTTESVIL
VA
Description : FAST FOOD RESTAURAN Price : 0.00
423-587-0690</t>
  </si>
  <si>
    <t>801 EMMET ST NORTH</t>
  </si>
  <si>
    <t>320260040104284571</t>
  </si>
  <si>
    <t>000061674   6067843480
GASOLINE ALLEY 16 000000000908264
MOREHEAD
KY
6067843480</t>
  </si>
  <si>
    <t>320260120328440504</t>
  </si>
  <si>
    <t>FIREHOUSE SUBS 1026 CHARLOTTESVIL       VA</t>
  </si>
  <si>
    <t>00000020041 4348259477
FIREHOUSE SUBS 1026 QSR 000001026
CHARLOTTESVIL
VA
Description : FAST FOOD REST. Price : 0.7084
4348259477</t>
  </si>
  <si>
    <t>820 29TH
PLACE CT</t>
  </si>
  <si>
    <t>320260030085104546</t>
  </si>
  <si>
    <t>10156320260 4346857500
CORNER MARKET 650000009048425
DANVILLE
VA
"Description : FUEL DISPENSER, AUT Price : 0.7113"
4346857500</t>
  </si>
  <si>
    <t>320260080203496860</t>
  </si>
  <si>
    <t>TRAFFIC SAFETY SERVIFISHERSVILLE        VA</t>
  </si>
  <si>
    <t>90230004    423-306-0742
TRAFFIC SAFETY SERVICES
FISHERSVILLE
VA
Description : PROFESSIONAL SEVICE Price : 0.00
423-306-0742</t>
  </si>
  <si>
    <t>24 LUCAS RD</t>
  </si>
  <si>
    <t>320260210580649522</t>
  </si>
  <si>
    <t>00761422    434-296-3790
BP#8334740VIRGINIA OIL #
CHARLOTTESVIL
VA
Description : Unleaded Super Price : 0.00
434-296-3790</t>
  </si>
  <si>
    <t>320260100277015090</t>
  </si>
  <si>
    <t>2126-5569   AUTO FUEL DISPENSER
Q-CARD #310
ROANOKE
VA
Description : FUEL Price : 0.038
AUTO FUEL DISPENSER</t>
  </si>
  <si>
    <t>320260160431413570</t>
  </si>
  <si>
    <t>00033900    434-971-6614
EXXONMOBIL
CHARLOTTESVIL
VA
Description : 019 Price : 0.00
434-971-6614</t>
  </si>
  <si>
    <t>320260220602104054</t>
  </si>
  <si>
    <t>00013270    800-755-6759
O'REILLY AUTO PARTS
APPOMATTOX
VA
Description : AUTO PARTS/ACCESSOR Price : 0.00
800-755-6759</t>
  </si>
  <si>
    <t>320260240665750750</t>
  </si>
  <si>
    <t>FRANKLIN WELDING &amp; EROCKY MOUNT         VA</t>
  </si>
  <si>
    <t>32173926017IR70386          24151
HARWARE STORES
FRANKLIN WELDING &amp; EQU FRANKLIN WELDIN
ROCKY MOUNT
VA
HARWARE STORES
IR70386          24151</t>
  </si>
  <si>
    <t>555 NORTH MAIN ST</t>
  </si>
  <si>
    <t>24151-0000</t>
  </si>
  <si>
    <t>320260180498253592</t>
  </si>
  <si>
    <t xml:space="preserve">7935408270  8596999050
LODGING
RED ROOF INN 0369
MOREHEAD
KY
</t>
  </si>
  <si>
    <t>320260080205985349</t>
  </si>
  <si>
    <t xml:space="preserve">7753357373  8596999050
LODGING
RED ROOF INN 0369
MOREHEAD
KY
</t>
  </si>
  <si>
    <t>320260140369242809</t>
  </si>
  <si>
    <t xml:space="preserve">6119560252  8596999050
LODGING
RED ROOF INN 0369
MOREHEAD
KY
</t>
  </si>
  <si>
    <t>320260140369087248</t>
  </si>
  <si>
    <t>00033907    434-971-6614
EXXONMOBIL
CHARLOTTESVIL
VA
Description : 019 Price : 0.00
434-971-6614</t>
  </si>
  <si>
    <t>320260220602116448</t>
  </si>
  <si>
    <t>10156320260 4346857500
CORNER MARKET 650000009048425
DANVILLE
VA
Description : SERVICE STATIONS Price : 0.815
4346857500</t>
  </si>
  <si>
    <t>320260140366501758</t>
  </si>
  <si>
    <t>10156320260 4346857500
CORNER MARKET 650000009048425
DANVILLE
VA
Description : SERVICE STATIONS Price : 0.8183
4346857500</t>
  </si>
  <si>
    <t>320260100261018534</t>
  </si>
  <si>
    <t>0200770609 8668724850
Retail Store
TRACTOR SUPPLY CO
APPOMATTOX
VA
Retail Store
8668724850</t>
  </si>
  <si>
    <t>320260210571763760</t>
  </si>
  <si>
    <t>0034981     606-783-0221
MARATHON 118893
MOREHEAD
KY
Description : GAS/SERVICES Price : 0.00
606-783-0221</t>
  </si>
  <si>
    <t>320260180496981390</t>
  </si>
  <si>
    <t>0009498     800-487-5444
SHEETZ
LYNCHBURG
VA
Description : AUTOMATED FUEL PUMP Price : 0.00
800-487-5444</t>
  </si>
  <si>
    <t>320260170466537770</t>
  </si>
  <si>
    <t>LOWE'S              BLOOMINGTON         IN</t>
  </si>
  <si>
    <t>INV # 85622 812-323-0899
LOWE'S
BLOOMINGTON
IN
812-323-0899</t>
  </si>
  <si>
    <t>350 NORTH GATES DR</t>
  </si>
  <si>
    <t>BLOOMINGTON
IN</t>
  </si>
  <si>
    <t>47404</t>
  </si>
  <si>
    <t>320260070179745083</t>
  </si>
  <si>
    <t>ADVANCE AUTO PARTS  MADISON HEIGHTS     VA</t>
  </si>
  <si>
    <t>0007139    241005257701     24572
34AMPUSBCARCHARGER 24 EA EGZ
FC PRO AF 5050 Gal 1 EA FINAL
ADVANCE AUTO PARTS
MADISON HEIGHTS
VA
34AMPUSBCARCHARGER 24 EA EGZ
FC PRO AF 5050 Gal 1 EA FINAL
241005257701     24572</t>
  </si>
  <si>
    <t>2725 AMHERST HWY</t>
  </si>
  <si>
    <t>24572-2636</t>
  </si>
  <si>
    <t>320260150408266655</t>
  </si>
  <si>
    <t>00524192    540-297-5297
SUNOCO 0415315100
EVINGTON
VA
Description : Unleaded (88 octane Price : 0.00
540-297-5297</t>
  </si>
  <si>
    <t>320260210576851015</t>
  </si>
  <si>
    <t>8R0AEKWW    8559731040
AplPay BT*DD *DOORDASH MELLOWMUS
SAN FRANCISCO
CA
8559731040</t>
  </si>
  <si>
    <t>320260030078735348</t>
  </si>
  <si>
    <t>WAL-MART SUPERCENTERAPPOMATTOX          VA</t>
  </si>
  <si>
    <t>60231701626 DISCOUNT STORE
WAL-MART SUPERCENTER 4636 4636
APPOMATTOX
VA
DISCOUNT STORE</t>
  </si>
  <si>
    <t>505 OAKVILLE RD</t>
  </si>
  <si>
    <t>320260230624357382</t>
  </si>
  <si>
    <t>AUTOZONE #0970 00000CHARLOTTESVIL       VA</t>
  </si>
  <si>
    <t>460790      8002886966
AUTOZONE #0970 000000970
CHARLOTTESVIL
VA
Description : EXHAUST HEADER WRAP Price : 0.6999
8002886966</t>
  </si>
  <si>
    <t>910 RIV RD</t>
  </si>
  <si>
    <t>320260050134709339</t>
  </si>
  <si>
    <t>00236836    800-755-6759
O'REILLY AUTO PARTS
APPOMATTOX
VA
Description : AUTO PARTS/ACCESSOR Price : 0.00
800-755-6759</t>
  </si>
  <si>
    <t>320260210580841360</t>
  </si>
  <si>
    <t>WAL-MART SUPERCENTERLYNCHBURG           VA</t>
  </si>
  <si>
    <t>60150400117 DISCOUNT STORE
WAL-MART SUPERCENTER 1350 1350
LYNCHBURG
VA
DISCOUNT STORE</t>
  </si>
  <si>
    <t>3900 WARDS RD</t>
  </si>
  <si>
    <t>320260150401155863</t>
  </si>
  <si>
    <t>554360      8002886966
AUTOZONE #0906 000000906
DANVILLE
VA
Description : PRESTONE DOT3 BRAKE Price : 0.1199
8002886966</t>
  </si>
  <si>
    <t>320260130351156710</t>
  </si>
  <si>
    <t>2128-5603   AUTO FUEL DISPENSER
Q-CARD #310
ROANOKE
VA
Description : FUEL Price : 0.038
AUTO FUEL DISPENSER</t>
  </si>
  <si>
    <t>320260170462131883</t>
  </si>
  <si>
    <t>2130-5634   AUTO FUEL DISPENSER
Q-CARD #310
ROANOKE
VA
Description : FUEL Price : 0.038
AUTO FUEL DISPENSER</t>
  </si>
  <si>
    <t>320260180486384181</t>
  </si>
  <si>
    <t>TRACTOR SUPPLY CO   CHARLOTTESVILLE     VA</t>
  </si>
  <si>
    <t>0200592889 8668724850
Retail Store
TRACTOR SUPPLY CO
CHARLOTTESVILLE
VA
Retail Store
8668724850</t>
  </si>
  <si>
    <t>921 RIV RD</t>
  </si>
  <si>
    <t>320260050134729558</t>
  </si>
  <si>
    <t>EXXONMOBIL          CHATHAM             VA</t>
  </si>
  <si>
    <t>00314862    434-656-3343
EXXONMOBIL
CHATHAM
VA
Description : 001 Price : 0.00
434-656-3343</t>
  </si>
  <si>
    <t>320260170468327851</t>
  </si>
  <si>
    <t>0273303     859-623-6705
MARATHON 253070
CLEARFIELD
KY
Description : GAS/SERVICES Price : 0.00
859-623-6705</t>
  </si>
  <si>
    <t>320260160442713185</t>
  </si>
  <si>
    <t>0275196     859-623-6705
MARATHON 253070
CLEARFIELD
KY
Description : GAS/SERVICES Price : 0.00
859-623-6705</t>
  </si>
  <si>
    <t>320260170452834502</t>
  </si>
  <si>
    <t>0280151     859-623-6705
MARATHON 253070
CLEARFIELD
KY
Description : GAS/SERVICES Price : 0.00
859-623-6705</t>
  </si>
  <si>
    <t>320260200555152156</t>
  </si>
  <si>
    <t>0280162     859-623-6705
MARATHON 253070
CLEARFIELD
KY
Description : GAS/SERVICES Price : 0.00
859-623-6705</t>
  </si>
  <si>
    <t>320260200555152325</t>
  </si>
  <si>
    <t>0281846     859-623-6705
MARATHON 253070
CLEARFIELD
KY
Description : GAS/SERVICES Price : 0.00
859-623-6705</t>
  </si>
  <si>
    <t>320260210582830464</t>
  </si>
  <si>
    <t>0283514     859-623-6705
MARATHON 253070
CLEARFIELD
KY
Description : GAS/SERVICES Price : 0.00
859-623-6705</t>
  </si>
  <si>
    <t>320260230633683979</t>
  </si>
  <si>
    <t>0283525     859-623-6705
MARATHON 253070
CLEARFIELD
KY
Description : GAS/SERVICES Price : 0.00
859-623-6705</t>
  </si>
  <si>
    <t>320260230633684340</t>
  </si>
  <si>
    <t>0038282     606-783-0221
MARATHON 118893
MOREHEAD
KY
Description : GAS/SERVICES Price : 0.00
606-783-0221</t>
  </si>
  <si>
    <t>320260240664102225</t>
  </si>
  <si>
    <t>0038283     606-783-0221
MARATHON 118893
MOREHEAD
KY
Description : GAS/SERVICES Price : 0.00
606-783-0221</t>
  </si>
  <si>
    <t>320260240665732401</t>
  </si>
  <si>
    <t>0038286     606-783-0221
MARATHON 118893
MOREHEAD
KY
Description : GAS/SERVICES Price : 0.00
606-783-0221</t>
  </si>
  <si>
    <t>320260240665736087</t>
  </si>
  <si>
    <t>0281862     859-623-6705
MARATHON 253070
CLEARFIELD
KY
Description : GAS/SERVICES Price : 0.00
859-623-6705</t>
  </si>
  <si>
    <t>320260210582830538</t>
  </si>
  <si>
    <t>0032651     606-783-0221
MARATHON 118893
MOREHEAD
KY
Description : GAS/SERVICES Price : 0.00
606-783-0221</t>
  </si>
  <si>
    <t>320260140384758284</t>
  </si>
  <si>
    <t>0037667     606-783-0221
MARATHON 118893
MOREHEAD
KY
Description : GAS/SERVICES Price : 0.00
606-783-0221</t>
  </si>
  <si>
    <t>320260230637024269</t>
  </si>
  <si>
    <t>00753947    434-296-3790
BP#8334740VIRGINIA OIL #
CHARLOTTESVIL
VA
Description : Regular Diesel #2 Price : 0.00
434-296-3790</t>
  </si>
  <si>
    <t>320260060162149100</t>
  </si>
  <si>
    <t>11889474902 UNION 76
UNION 76 09498239
DANVILLE
VA
UNION 76</t>
  </si>
  <si>
    <t>320260070189795933</t>
  </si>
  <si>
    <t>11921460986 UNION 76
UNION 76 09493727
APPOMATTOX
VA
UNION 76</t>
  </si>
  <si>
    <t>320260230631067338</t>
  </si>
  <si>
    <t>10156320260 4346857500
CORNER MARKET 650000009048425
DANVILLE
VA
Description : SERVICE STATIONS Price : 1.0725
4346857500</t>
  </si>
  <si>
    <t>320260130362577498</t>
  </si>
  <si>
    <t>830567      GROCERY STORE
FOOD LION #0238
CHARLOTTESVIL
VA
GROCERY STORE</t>
  </si>
  <si>
    <t>320260020058696341</t>
  </si>
  <si>
    <t>320260070191082066</t>
  </si>
  <si>
    <t>10156320260 4346857500
CORNER MARKET 650000009048425
DANVILLE
VA
Description : SERVICE STATIONS Price : 1.1425
4346857500</t>
  </si>
  <si>
    <t>320260090231931913</t>
  </si>
  <si>
    <t>114417      8002886966
AUTOZONE #6464 000006464
CHARLOTTESVIL
VA
Description : MEASURING FAST TRAC Price : 0.0699
8002886966</t>
  </si>
  <si>
    <t>320260060164144527</t>
  </si>
  <si>
    <t>00023149    434-971-6614
EXXONMOBIL
CHARLOTTESVIL
VA
Description : 019 Price : 0.00
434-971-6614</t>
  </si>
  <si>
    <t>320260080217213909</t>
  </si>
  <si>
    <t>BP#1503600TVS FOOD MNORTH GARDEN        VA</t>
  </si>
  <si>
    <t>00462082    434-296-2932
BP#1503600TVS FOOD MART
NORTH GARDEN
VA
Description : Regular Diesel #2 Price : 0.00
434-296-2932</t>
  </si>
  <si>
    <t>320260070195642229</t>
  </si>
  <si>
    <t>00759310    434-296-3790
BP#8334740VIRGINIA OIL #
CHARLOTTESVIL
VA
Description : Unleaded Super Price : 0.00
434-296-3790</t>
  </si>
  <si>
    <t>320260090247104951</t>
  </si>
  <si>
    <t>00757450    434-296-3790
BP#8334740VIRGINIA OIL #
CHARLOTTESVIL
VA
Description : Unleaded Super Price : 0.00
434-296-3790</t>
  </si>
  <si>
    <t>320260080216702818</t>
  </si>
  <si>
    <t>00032159    434-971-6614
EXXONMOBIL
CHARLOTTESVIL
VA
Description : 019 Price : 0.00
434-971-6614</t>
  </si>
  <si>
    <t>320260200547179890</t>
  </si>
  <si>
    <t>TST* MONA LISA PASTACHARLOTTESVIL       VA</t>
  </si>
  <si>
    <t>99999996009 4342952494
TST* MONA LISA PASTA 000003054
CHARLOTTESVIL
VA
Description : RESTAURANTS Price : 1.2797
4342952494</t>
  </si>
  <si>
    <t>921 PRESTON AVE</t>
  </si>
  <si>
    <t>22903-4421</t>
  </si>
  <si>
    <t>320260100279329822</t>
  </si>
  <si>
    <t>00314856    434-656-3343
EXXONMOBIL
CHATHAM
VA
Description : 004 Price : 0.00
434-656-3343</t>
  </si>
  <si>
    <t>320260170468324953</t>
  </si>
  <si>
    <t>TRACTOR-SUPPLY-CO #0BEDFORD             VA</t>
  </si>
  <si>
    <t>0200892689 8668724850
Retail Store
TRACTOR-SUPPLY-CO #0547 000000547
BEDFORD
VA
Retail Store
8668724850</t>
  </si>
  <si>
    <t>1128 EAST LYNCHBURG SALEM TPKE STE 100</t>
  </si>
  <si>
    <t>320260090248132205</t>
  </si>
  <si>
    <t>0100959549 8668724850
Retail Store
TRACTOR SUPPLY CO
CHARLOTTESVILLE
VA
Retail Store
8668724850</t>
  </si>
  <si>
    <t>320260110298580272</t>
  </si>
  <si>
    <t>00033689    434-971-6614
EXXONMOBIL
CHARLOTTESVIL
VA
Description : 019 Price : 0.00
434-971-6614</t>
  </si>
  <si>
    <t>320260220601624526</t>
  </si>
  <si>
    <t>APPOMATTOX OUTDOOR EAPPOMATTOX          VA</t>
  </si>
  <si>
    <t>31099536023 LAWN/GARDEN SUPPLIES
APPOMATTOX OUTDOOR EQUIPM 00-080368886
APPOMATTOX
VA
LAWN/GARDEN SUPPLIES</t>
  </si>
  <si>
    <t>252 OLD COURTHOUSE RD</t>
  </si>
  <si>
    <t>24522-8222</t>
  </si>
  <si>
    <t>320260240667252655</t>
  </si>
  <si>
    <t>Merchandise &amp; Supplies-Florists &amp; Garden</t>
  </si>
  <si>
    <t>00029929    434-971-6614
EXXONMOBIL
CHARLOTTESVIL
VA
Description : 019 Price : 0.00
434-971-6614</t>
  </si>
  <si>
    <t>320260170469378636</t>
  </si>
  <si>
    <t>LOWE'S              MOREHEAD            KY</t>
  </si>
  <si>
    <t>INV # 83399 606-780-2200
LOWE'S
MOREHEAD
KY
606-780-2200</t>
  </si>
  <si>
    <t>100 KROGER
CTR</t>
  </si>
  <si>
    <t>320260210563366230</t>
  </si>
  <si>
    <t>549134      8002886966
AUTOZONE #0906 000000906
DANVILLE
VA
Description : DURALAST 3 TON GARA Price : 1.3499
8002886966</t>
  </si>
  <si>
    <t>320260070189205174</t>
  </si>
  <si>
    <t>2DS2MPN6U0U MERCHANDISE
AMAZON MARKETPLACE NA PA
AMZN.COM/BILL
WA
MERCHANDISE</t>
  </si>
  <si>
    <t>320260030072550394</t>
  </si>
  <si>
    <t>JA OLDFIELD &amp; SON INWEST LIBERTY        KY</t>
  </si>
  <si>
    <t>73011006022 JAOLDFIE@MRTC.COM
JA OLDFIELD &amp; SON INC 666700000029850
WEST LIBERTY
KY
JAOLDFIE@MRTC.COM</t>
  </si>
  <si>
    <t>8447 HWY 460 WEST</t>
  </si>
  <si>
    <t>WEST LIBERTY
KY</t>
  </si>
  <si>
    <t>41472</t>
  </si>
  <si>
    <t>320260230634799820</t>
  </si>
  <si>
    <t>00032573    434-971-6614
EXXONMOBIL
CHARLOTTESVIL
VA
Description : 019 Price : 0.00
434-971-6614</t>
  </si>
  <si>
    <t>320260200548604515</t>
  </si>
  <si>
    <t>0200771630 8668724850
Retail Store
TRACTOR SUPPLY CO
APPOMATTOX
VA
Retail Store
8668724850</t>
  </si>
  <si>
    <t>320260240658656993</t>
  </si>
  <si>
    <t>VERMEER MID ATLANTICROANOKE             VA</t>
  </si>
  <si>
    <t>214190500  0101MTMEN001     000000
VERMEER MID ATLANTIC ROAN 092490014399
ROANOKE
VA
0101MTMEN001     000000</t>
  </si>
  <si>
    <t>2401 JOHNSON AVE NORTH WEST</t>
  </si>
  <si>
    <t>320260150412568753</t>
  </si>
  <si>
    <t>Transportation-Air Services</t>
  </si>
  <si>
    <t>208190500  0101MTMEN001     000000
VERMEER MID ATLANTIC ROAN 092490014399
ROANOKE
VA
0101MTMEN001     000000</t>
  </si>
  <si>
    <t>320260090251730203</t>
  </si>
  <si>
    <t>00024509    434-971-6614
EXXONMOBIL
CHARLOTTESVIL
VA
Description : 019 Price : 0.00
434-971-6614</t>
  </si>
  <si>
    <t>320260100276970969</t>
  </si>
  <si>
    <t>ALLIED PORTABLE TOILCROZET              VA</t>
  </si>
  <si>
    <t>84702108   I257006          55555
BUSINESS SERVICES
ALLIED PORTABLE TOILETS
CROZET
VA
BUSINESS SERVICES
I257006          55555</t>
  </si>
  <si>
    <t>1207 CROZET AVE</t>
  </si>
  <si>
    <t>CROZET
VA</t>
  </si>
  <si>
    <t>22932</t>
  </si>
  <si>
    <t>320260140384650560</t>
  </si>
  <si>
    <t>00023692    434-971-6614
EXXONMOBIL
CHARLOTTESVIL
VA
Description : 019 Price : 0.00
434-971-6614</t>
  </si>
  <si>
    <t>320260090247096795</t>
  </si>
  <si>
    <t>31099536021 LAWN/GARDEN SUPPLIES
APPOMATTOX OUTDOOR EQUIPM 00-080368886
APPOMATTOX
VA
LAWN/GARDEN SUPPLIES</t>
  </si>
  <si>
    <t>320260220606020908</t>
  </si>
  <si>
    <t>W12701102245854293656
WEGMANS CHARLOTTES #127 000000127
CHARLOTTESVIL
VA
5854293656</t>
  </si>
  <si>
    <t>320260080220139550</t>
  </si>
  <si>
    <t>00000009741 5407214822
7125 BOOKER T WASHINGTON HWY 575465574
WIRTZ
VA
5407214822</t>
  </si>
  <si>
    <t>320260230631812005</t>
  </si>
  <si>
    <t>00034725    434-971-6614
EXXONMOBIL
CHARLOTTESVIL
VA
Description : 003 Price : 0.00
434-971-6614</t>
  </si>
  <si>
    <t>320260230631096497</t>
  </si>
  <si>
    <t>11921460984 UNION 76
UNION 76 09493727
APPOMATTOX
VA
UNION 76</t>
  </si>
  <si>
    <t>320260230631066191</t>
  </si>
  <si>
    <t>00032149    434-971-6614
EXXONMOBIL
CHARLOTTESVIL
VA
Description : 003 Price : 0.00
434-971-6614</t>
  </si>
  <si>
    <t>320260200547167478</t>
  </si>
  <si>
    <t>10156320260 4346857500
CORNER MARKET 650000009048425
DANVILLE
VA
Description : SERVICE STATIONS Price : 1.70
4346857500</t>
  </si>
  <si>
    <t>320260140367036672</t>
  </si>
  <si>
    <t>00028175    434-971-6614
EXXONMOBIL
CHARLOTTESVIL
VA
Description : 019 Price : 0.00
434-971-6614</t>
  </si>
  <si>
    <t>320260150407872265</t>
  </si>
  <si>
    <t>00035335    434-971-6614
EXXONMOBIL
CHARLOTTESVIL
VA
Description : 003 Price : 0.00
434-971-6614</t>
  </si>
  <si>
    <t>320260230631738915</t>
  </si>
  <si>
    <t>00019774    434-971-6614
EXXONMOBIL
CHARLOTTESVIL
VA
Description : 019 Price : 0.00
434-971-6614</t>
  </si>
  <si>
    <t>320260040109490504</t>
  </si>
  <si>
    <t>TRACTOR SUPPLY # 129MOREHEAD            KY</t>
  </si>
  <si>
    <t>0200803755 8668724850
Retail Store
TRACTOR SUPPLY # 1296 000001296
MOREHEAD
KY
Retail Store
8668724850</t>
  </si>
  <si>
    <t>250 PNE CRST RD</t>
  </si>
  <si>
    <t>320260100273299290</t>
  </si>
  <si>
    <t>00023814    434-971-6614
EXXONMOBIL
CHARLOTTESVIL
VA
Description : 019 Price : 0.00
434-971-6614</t>
  </si>
  <si>
    <t>320260090245270647</t>
  </si>
  <si>
    <t>00029780    434-971-6614
EXXONMOBIL
CHARLOTTESVIL
VA
Description : 019 Price : 0.00
434-971-6614</t>
  </si>
  <si>
    <t>320260170469275667</t>
  </si>
  <si>
    <t>00022872    434-971-6614
EXXONMOBIL
CHARLOTTESVIL
VA
Description : 019 Price : 0.00
434-971-6614</t>
  </si>
  <si>
    <t>320260080218719141</t>
  </si>
  <si>
    <t>00034717    434-971-6614
EXXONMOBIL
CHARLOTTESVIL
VA
Description : 019 Price : 0.00
434-971-6614</t>
  </si>
  <si>
    <t>320260230631091878</t>
  </si>
  <si>
    <t>00019489    434-971-6614
EXXONMOBIL
CHARLOTTESVIL
VA
Description : 019 Price : 0.00
434-971-6614</t>
  </si>
  <si>
    <t>320260030086992122</t>
  </si>
  <si>
    <t>00023823    434-971-6614
EXXONMOBIL
CHARLOTTESVIL
VA
Description : 003 Price : 0.00
434-971-6614</t>
  </si>
  <si>
    <t>320260090247234895</t>
  </si>
  <si>
    <t>SPEEDWAY 44079 00004MOREHEAD            KY</t>
  </si>
  <si>
    <t>9wtbjuhg2i5 9378643000
SPEEDWAY 44079 000044079
MOREHEAD
KY
Description : AUTOMATED FUEL Price : 1.75
9378643000</t>
  </si>
  <si>
    <t>320260260705419006</t>
  </si>
  <si>
    <t>9wubl303nw8 9378643000
SPEEDWAY 44079 000044079
MOREHEAD
KY
Description : AUTOMATED FUEL Price : 1.75
9378643000</t>
  </si>
  <si>
    <t>320260270728559219</t>
  </si>
  <si>
    <t>00022077    434-971-6614
EXXONMOBIL
CHARLOTTESVIL
VA
Description : 019 Price : 0.00
434-971-6614</t>
  </si>
  <si>
    <t>320260070188720961</t>
  </si>
  <si>
    <t>EXXONMOBIL          DANVILLE            VA</t>
  </si>
  <si>
    <t>00631159    434-685-4765
EXXONMOBIL
DANVILLE
VA
Description : 020 Price : 0.00
434-685-4765</t>
  </si>
  <si>
    <t>320260070189429297</t>
  </si>
  <si>
    <t>11921460980 UNION 76
UNION 76 09493727
APPOMATTOX
VA
UNION 76</t>
  </si>
  <si>
    <t>320260230631061611</t>
  </si>
  <si>
    <t>00021852    434-971-6614
EXXONMOBIL
CHARLOTTESVIL
VA
Description : 003 Price : 0.00
434-971-6614</t>
  </si>
  <si>
    <t>320260060161544012</t>
  </si>
  <si>
    <t>00032154    434-971-6614
EXXONMOBIL
CHARLOTTESVIL
VA
Description : 019 Price : 0.00
434-971-6614</t>
  </si>
  <si>
    <t>320260200547174046</t>
  </si>
  <si>
    <t>00000001823 AUTO FUEL DISPENSER
PILOT_00663 00663
WADDY
KY
AUTO FUEL DISPENSER</t>
  </si>
  <si>
    <t>320260080218750397</t>
  </si>
  <si>
    <t>HR5A81AOH6B MERCHANDISE
AMAZON MARKETPLACE NA PA
AMZN.COM/BILL
WA
MERCHANDISE</t>
  </si>
  <si>
    <t>320260160436308116</t>
  </si>
  <si>
    <t>RAISING CANES 0165  CHARLOTTESVIL       VA</t>
  </si>
  <si>
    <t>834551     10042            22901
RAISING CANES 0165
CHARLOTTESVIL
VA
10042            22901</t>
  </si>
  <si>
    <t>1805 EMMET ST NORTH</t>
  </si>
  <si>
    <t>320260230620528173</t>
  </si>
  <si>
    <t>PILOT_00041 00041   MT. STERLING        KY</t>
  </si>
  <si>
    <t>00000012376 GAS STATION
PILOT_00041 00041
MT. STERLING
KY
GAS STATION</t>
  </si>
  <si>
    <t>3060 OWINGSVILLE RD</t>
  </si>
  <si>
    <t>MOUNT STERLING
KY</t>
  </si>
  <si>
    <t>40353</t>
  </si>
  <si>
    <t>320260060166315720</t>
  </si>
  <si>
    <t>THE JUNCTION 336 650BLOOMFIELD          IN</t>
  </si>
  <si>
    <t>10156320260 8128637232
THE JUNCTION 336 650000011932798
BLOOMFIELD
IN
"Description : FUEL DISPENSER, AUT Price : 2.00"
8128637232</t>
  </si>
  <si>
    <t>1172 EAST STATE RD 58</t>
  </si>
  <si>
    <t>BLOOMFIELD
IN</t>
  </si>
  <si>
    <t>47424</t>
  </si>
  <si>
    <t>320260060148810897</t>
  </si>
  <si>
    <t>320260070175536798</t>
  </si>
  <si>
    <t>0269878     859-623-6705
MARATHON 253070
CLEARFIELD
KY
Description : GAS/SERVICES Price : 0.00
859-623-6705</t>
  </si>
  <si>
    <t>320260140366429256</t>
  </si>
  <si>
    <t>00419605    606-725-4667
VILLAGE GROCERY 1
EZEL
KY
Description : GAS/SERVICES Price : 0.00
606-725-4667</t>
  </si>
  <si>
    <t>320260160434810565</t>
  </si>
  <si>
    <t>2212 IVY RD 57546560CHARLOTTESVILLE     VA</t>
  </si>
  <si>
    <t>00000007174 4349794500
2212 IVY RD 57546560806
CHARLOTTESVILLE
VA
4349794500</t>
  </si>
  <si>
    <t>320260040109002161</t>
  </si>
  <si>
    <t>00000025560 AUTO FUEL DISPENSER
PILOT_00663 00663
WADDY
KY
AUTO FUEL DISPENSER</t>
  </si>
  <si>
    <t>320260060167388408</t>
  </si>
  <si>
    <t>21105176010 RESTAURANT
TST* TIMBERWOOD TAP HOUSE 00081673
CHARLOTTESVILLE
VA
RESTAURANT</t>
  </si>
  <si>
    <t>320260100272335846</t>
  </si>
  <si>
    <t>B0BY5KJY   1898790942540883694105
IC* COSTCO BY INSTACAR
SAN FRANCISCO
CA
1898790942540883694105</t>
  </si>
  <si>
    <t>320260060153109070</t>
  </si>
  <si>
    <t>73011006008 JAOLDFIE@MRTC.COM
JA OLDFIELD &amp; SON INC 666700000029850
WEST LIBERTY
KY
JAOLDFIE@MRTC.COM</t>
  </si>
  <si>
    <t>320260090251548080</t>
  </si>
  <si>
    <t>DocuSign            SEATTLE             WA</t>
  </si>
  <si>
    <t>19134020    8003799973 / payproce
8003799973 / payprocess80
DocuSign
SEATTLE
WA
8003799973 / payprocess80</t>
  </si>
  <si>
    <t>SUITE 1700
999 3RD AVE</t>
  </si>
  <si>
    <t>98103</t>
  </si>
  <si>
    <t>320260090235498424</t>
  </si>
  <si>
    <t xml:space="preserve">1703977827  8596999050
LODGING
RED ROOF INN 0369
MOREHEAD
KY
</t>
  </si>
  <si>
    <t>320260080205955810</t>
  </si>
  <si>
    <t>85179246008434-296-3249
GINGERICH OUTDOOR POWE
CHARLOTTESVIL
VA
434-296-3249</t>
  </si>
  <si>
    <t>320260080204076479</t>
  </si>
  <si>
    <t>1ZJR7XKT   1904814872940794894105
IC* COSTCO BY INSTACAR
SAN FRANCISCO
CA
1904814872940794894105</t>
  </si>
  <si>
    <t>320260130343678937</t>
  </si>
  <si>
    <t>31099536013 LAWN/GARDEN SUPPLIES
APPOMATTOX OUTDOOR EQUIPM 00-080368886
APPOMATTOX
VA
LAWN/GARDEN SUPPLIES</t>
  </si>
  <si>
    <t>320260140385614591</t>
  </si>
  <si>
    <t>0261916     859-623-6705
MARATHON 253070
CLEARFIELD
KY
Description : GAS/SERVICES Price : 0.00
859-623-6705</t>
  </si>
  <si>
    <t>320260090230582115</t>
  </si>
  <si>
    <t>BEDFORD COOPERATIVE CHATHAM             VA</t>
  </si>
  <si>
    <t>10156320260 4344324201
BEDFORD COOPERATIVE - CHA 650000013239
CHATHAM
VA
Description : AGRICULTURAL COPERA Price : 2.5584
4344324201</t>
  </si>
  <si>
    <t>968 HALIFAX RD</t>
  </si>
  <si>
    <t>320260090252411208</t>
  </si>
  <si>
    <t>POLARIS INC.        MEDINA              MN</t>
  </si>
  <si>
    <t>R1b0f0a9340 800-303-9002
POLARIS INC.
MEDINA
MN
Description : SPECIALTY RETAIL Price : 0.00
800-303-9002</t>
  </si>
  <si>
    <t>2100 HWY 55</t>
  </si>
  <si>
    <t>HAMEL
MN</t>
  </si>
  <si>
    <t>55340</t>
  </si>
  <si>
    <t>320260160435844311</t>
  </si>
  <si>
    <t>IN *WEEDOO GREENBOATSTUART              FL</t>
  </si>
  <si>
    <t>005I1AGQ99N9174494834
IN *WEEDOO GREENBOAT INC
STUART
FL
9174494834</t>
  </si>
  <si>
    <t>1340 SOUTH WEST COMMERCE WAY</t>
  </si>
  <si>
    <t>STUART
FL</t>
  </si>
  <si>
    <t>34997</t>
  </si>
  <si>
    <t>320260050124697448</t>
  </si>
  <si>
    <t>MONETA FARM AND HOMEPLANO               TX</t>
  </si>
  <si>
    <t>999999960224227731          241843
MONETA FARM AND HOME CENT 000000001
PLANO
TX
4227731          241843</t>
  </si>
  <si>
    <t>7250 DALLAS PKWY
STE 800</t>
  </si>
  <si>
    <t>PLANO
TX</t>
  </si>
  <si>
    <t>75024-4936</t>
  </si>
  <si>
    <t>320260220597678073</t>
  </si>
  <si>
    <t>PORTER TIRE CENTER IOLIVE HILL          KY</t>
  </si>
  <si>
    <t>73011756014 JENNIFERHHARRIS@YAHOO
JENNIFERHHARRIS@YAHOO.COM
PORTER TIRE CENTER INC 403903000393428
OLIVE HILL
KY
JENNIFERHHARRIS@YAHOO.COM</t>
  </si>
  <si>
    <t>18361 WEST US HWY 60</t>
  </si>
  <si>
    <t>OLIVE HILL
KY</t>
  </si>
  <si>
    <t>41164</t>
  </si>
  <si>
    <t>320260150411915119</t>
  </si>
  <si>
    <t>549560      8002886966
AUTOZONE #0906 000000906
DANVILLE
VA
Description : LONG LIFE MINI BULB Price : 0.1049
8002886966</t>
  </si>
  <si>
    <t>320260070191827581</t>
  </si>
  <si>
    <t>BAKERS TOWING       Red House           VA</t>
  </si>
  <si>
    <t>ZC9LrHOVaTg squareup.com/receipts
BAKERS TOWING
Red House
VA
squareup.com/receipts</t>
  </si>
  <si>
    <t>24504</t>
  </si>
  <si>
    <t>UNITED STATES OF AMERICA (THE)</t>
  </si>
  <si>
    <t>320260070185570593</t>
  </si>
  <si>
    <t>Transportation-Other Transportation</t>
  </si>
  <si>
    <t>PILOT_00354 00354   SIMPSONVILLE        KY</t>
  </si>
  <si>
    <t>00000094787 AUTO FUEL DISPENSER
PILOT_00354 00354
SIMPSONVILLE
KY
AUTO FUEL DISPENSER</t>
  </si>
  <si>
    <t>40067-6624</t>
  </si>
  <si>
    <t>320260070189994046</t>
  </si>
  <si>
    <t>550262      8002886966
AUTOZONE #0906 000000906
DANVILLE
VA
Description : BOSCH ENVISION WIPE Price : 0.7398
8002886966</t>
  </si>
  <si>
    <t>320260080217458929</t>
  </si>
  <si>
    <t>JAMES ATV + CYCLE   GRAYSON             KY</t>
  </si>
  <si>
    <t>08UN0A3JGPK 6064751533
JAMES ATV + CYCLE
GRAYSON
KY
Description : N/A Price : 0.00
6064751533</t>
  </si>
  <si>
    <t>207 SOUTH CAROL MALONE BLVD</t>
  </si>
  <si>
    <t>GRAYSON
KY</t>
  </si>
  <si>
    <t>41143</t>
  </si>
  <si>
    <t>320260210578270856</t>
  </si>
  <si>
    <t>11892190209 UNION 76
UNION 76 09498239
DANVILLE
VA
UNION 76</t>
  </si>
  <si>
    <t>320260100276887019</t>
  </si>
  <si>
    <t>SAFELITE AUTO GLASS COLUMBUS            OH</t>
  </si>
  <si>
    <t>47364973   01568562419      24018
AUTO PARTS/ACCESSORIES
SAFELITE AUTO GLASS
COLUMBUS
OH
AUTO PARTS/ACCESSORIES
01568562419      24018</t>
  </si>
  <si>
    <t>2400 FARMERS DR FL 5</t>
  </si>
  <si>
    <t>COLUMBUS
OH</t>
  </si>
  <si>
    <t>43235</t>
  </si>
  <si>
    <t>320260130341721819</t>
  </si>
  <si>
    <t>999999960214226417          75024
MONETA FARM AND HOME CENT 000000001
PLANO
TX
4226417          75024</t>
  </si>
  <si>
    <t>320260210571028253</t>
  </si>
  <si>
    <t>FOOD LION #2539     ALTAVISTA           VA</t>
  </si>
  <si>
    <t>846880      GROCERY STORE
FOOD LION #2539
ALTAVISTA
VA
GROCERY STORE</t>
  </si>
  <si>
    <t>1301 MAIN ST
STE A</t>
  </si>
  <si>
    <t>ALTAVISTA
VA</t>
  </si>
  <si>
    <t>24517</t>
  </si>
  <si>
    <t>320260210576908049</t>
  </si>
  <si>
    <t>TRACTOR-SUPPLY-CO #0MADISON HEIGH       VA</t>
  </si>
  <si>
    <t>0100697804 8668724850
Retail Store
TRACTOR-SUPPLY-CO #0467 000000467
MADISON HEIGH
VA
Retail Store
8668724850</t>
  </si>
  <si>
    <t>248 AMELON SQ</t>
  </si>
  <si>
    <t>320260230628027810</t>
  </si>
  <si>
    <t>00000076934 GAS STATION
PILOT_00663 00663
WADDY
KY
GAS STATION</t>
  </si>
  <si>
    <t>320260060166406460</t>
  </si>
  <si>
    <t>0          0                24018
SIGN 48I X 48I BE PREPARED TO STOP
SIGN 48I X 48I ONE LANE ROAD AHEAD
CREDIT CARD PROCESSING FEE
HAWKINS GRAVES INC.
LYNCHBURG
VA
SIGN 48I X 48I BE PREPARED TO STOP
SIGN 48I X 48I ONE LANE ROAD AHEAD
CREDIT CARD PROCESSING FEE
0                24018</t>
  </si>
  <si>
    <t>320260080207184909</t>
  </si>
  <si>
    <t>00000053463 AUTO FUEL DISPENSER
PILOT_00660 00660
CATLETTSBURG
KY
AUTO FUEL DISPENSER</t>
  </si>
  <si>
    <t>320260090247906656</t>
  </si>
  <si>
    <t>0          0                24018
SIGN 48I X 48I FLAGGER SYMBOL   W2L
SIGN 48I X 48I ONE LANE ROAD AHEAD
HAWKINS GRAVES INC.
LYNCHBURG
VA
SIGN 48I X 48I FLAGGER SYMBOL   W2L
SIGN 48I X 48I ONE LANE ROAD AHEAD
0                24018</t>
  </si>
  <si>
    <t>320260090235246612</t>
  </si>
  <si>
    <t>999999960144220458          241843
MONETA FARM AND HOME CENT 000000001
PLANO
TX
4220458          241843</t>
  </si>
  <si>
    <t>320260140378260123</t>
  </si>
  <si>
    <t>APPOMATTOX INN AND SAPPOMATTOX          VA</t>
  </si>
  <si>
    <t xml:space="preserve">0055305176  S.MILLER@GUESTSINC.CO
LODGING
S.MILLER@GUESTSINC.COM
APPOMATTOX INN AND SUITES 068880021809
APPOMATTOX
VA
</t>
  </si>
  <si>
    <t>447 OLD COURTHOUSE RD</t>
  </si>
  <si>
    <t>24522-8263</t>
  </si>
  <si>
    <t>320260130340477501</t>
  </si>
  <si>
    <t xml:space="preserve">0055401298  S.MILLER@GUESTSINC.CO
LODGING
S.MILLER@GUESTSINC.COM
APPOMATTOX INN AND SUITES 068880021809
APPOMATTOX
VA
</t>
  </si>
  <si>
    <t>320260200532523114</t>
  </si>
  <si>
    <t>FISHER AUTO PARTS   CHARLOTTESVILLE     VA</t>
  </si>
  <si>
    <t>0000000004  434-973-7971
FISHER AUTO PARTS
CHARLOTTESVILLE
VA
Description : AUTO PARTS/ACCESSOR Price : 0.00
434-973-7971</t>
  </si>
  <si>
    <t>1650 SEMINOLE TRL</t>
  </si>
  <si>
    <t>320260020043742006</t>
  </si>
  <si>
    <t>Merchandise &amp; Supplies-Industrial Supplies</t>
  </si>
  <si>
    <t xml:space="preserve">0055216594  S.MILLER@GUESTSINC.CO
LODGING
S.MILLER@GUESTSINC.COM
APPOMATTOX INN AND SUITES 068880021809
APPOMATTOX
VA
</t>
  </si>
  <si>
    <t>320260060148995408</t>
  </si>
  <si>
    <t>320260080204075075</t>
  </si>
  <si>
    <t>99999996005 8008533033
KROGER
ROCKY MOUNT
VA
Description : GROCERY STORES Price : 5.139
8008533033</t>
  </si>
  <si>
    <t>320260060170764750</t>
  </si>
  <si>
    <t>WEBB'S TIRE COMPANY APPOMATTOX          VA</t>
  </si>
  <si>
    <t>999999960095255420330000000024522
AUTO SERVICE
WEBB'S TIRE COMPANY 000000001
APPOMATTOX
VA
AUTO SERVICE
5255420330000000024522</t>
  </si>
  <si>
    <t>1663 CONFEDERATE BLVD</t>
  </si>
  <si>
    <t>320260100281536908</t>
  </si>
  <si>
    <t>0          0                24018
SIGN 48I X 48I ONE LANE ROAD AHEAD
SIGN 48I X 48I FLAGGER SYMBOL   W2L
SIGN 48I X 48I ROAD WORK AHEAD VDOT
CHAIN LOOP, 61PMMC3 50E
HAWKINS GRAVES INC.
LYNCHBURG
VA
SIGN 48I X 48I ONE LANE ROAD AHEAD
SIGN 48I X 48I FLAGGER SYMBOL   W2L
SIGN 48I X 48I ROAD WORK AHEAD VDOT
"CHAIN LOOP, 61PMMC3 50E"
0                24018</t>
  </si>
  <si>
    <t>320260160426032148</t>
  </si>
  <si>
    <t>LANDSCAPE SUPPLY - MMIDLOTHIAN          VA</t>
  </si>
  <si>
    <t>35812009   0450169          23112
MISC
LANDSCAPE SUPPLY - MIDLO
MIDLOTHIAN
VA
MISC
0450169          23112</t>
  </si>
  <si>
    <t>2501 OAK LK BLVD</t>
  </si>
  <si>
    <t>MIDLOTHIAN
VA</t>
  </si>
  <si>
    <t>23112</t>
  </si>
  <si>
    <t>320260160446799224</t>
  </si>
  <si>
    <t>SNAP CRACK LOCKSMITHCOLUMBUS            OH</t>
  </si>
  <si>
    <t>28500018    614-231-1917
SNAP CRACK LOCKSMITH
COLUMBUS
OH
Description : ON-BOARD CRUISE SHO Price : 0.00
614-231-1917</t>
  </si>
  <si>
    <t>3491 EAST BROAD ST</t>
  </si>
  <si>
    <t>43213</t>
  </si>
  <si>
    <t>320260070195241559</t>
  </si>
  <si>
    <t>320260220607100320</t>
  </si>
  <si>
    <t>31099536014 434-2216809
KIVAS AUTOMOTIVE 00-08041541973
APPOMATTOX
VA
434-2216809</t>
  </si>
  <si>
    <t>320260150412014479</t>
  </si>
  <si>
    <t>31099536022 LAWN/GARDEN SUPPLIES
APPOMATTOX OUTDOOR EQUIPM 00-080368886
APPOMATTOX
VA
LAWN/GARDEN SUPPLIES</t>
  </si>
  <si>
    <t>320260230636075734</t>
  </si>
  <si>
    <t>85179246023434-296-3249
GINGERICH OUTDOOR POWE
CHARLOTTESVIL
VA
434-296-3249</t>
  </si>
  <si>
    <t>320260230614883590</t>
  </si>
  <si>
    <t>MILLERBUILT OUTDOOR LYNCHBURG           VA</t>
  </si>
  <si>
    <t>85179246023434-846-0041
MILLERBUILT OUTDOOR EQ
LYNCHBURG
VA
434-846-0041</t>
  </si>
  <si>
    <t>2200 12TH ST</t>
  </si>
  <si>
    <t>320260230615599493</t>
  </si>
  <si>
    <t>320260230614812307</t>
  </si>
  <si>
    <t>Transaction Details</t>
  </si>
  <si>
    <t>Business Platinum Card® / Dec 29, 2025 to Jan 28, 2026</t>
  </si>
  <si>
    <t>Prepared for</t>
  </si>
  <si>
    <t>Account Number</t>
  </si>
  <si>
    <t>XXXX-XXXXXX-53009</t>
  </si>
  <si>
    <t>MOBILE PAYMENT - THANK YOU</t>
  </si>
  <si>
    <t xml:space="preserve">MOBILE PAYMENT - THANK YOU
</t>
  </si>
  <si>
    <t>320260240642436490</t>
  </si>
  <si>
    <t>320260240642419653</t>
  </si>
  <si>
    <t xml:space="preserve">019906402   434-3854902
ENTERPRISE RENT A TRUCK
LYNCHBURG
VA
</t>
  </si>
  <si>
    <t>320260240665929823</t>
  </si>
  <si>
    <t>320260220586413554</t>
  </si>
  <si>
    <t>AIRBNB * HM4YY8FA2S SAN FRANCISCO       CA</t>
  </si>
  <si>
    <t>8ZEWMHYV    4158005959
AIRBNB * HM4YY8FA2S
SAN FRANCISCO
CA
4158005959</t>
  </si>
  <si>
    <t>320260120321530916</t>
  </si>
  <si>
    <t>AIRBNB * HMED3B2AW3 SAN FRANCISCO       CA</t>
  </si>
  <si>
    <t>2GPZDE78    4158005959
AIRBNB * HMED3B2AW3
SAN FRANCISCO
CA
4158005959</t>
  </si>
  <si>
    <t>320260120334684331</t>
  </si>
  <si>
    <t>2GNK2AGV    4158005959
AIRBNB * HM4YY8FA2S
SAN FRANCISCO
CA
4158005959</t>
  </si>
  <si>
    <t>320260090248694968</t>
  </si>
  <si>
    <t>3TAJZHPH    4158005959
AIRBNB * HMED3B2AW3
SAN FRANCISCO
CA
4158005959</t>
  </si>
  <si>
    <t>320260080208364792</t>
  </si>
  <si>
    <t>12/31/2025</t>
  </si>
  <si>
    <t>ADVANCE AUTO PARTS #ROANOKE             VA</t>
  </si>
  <si>
    <t>0000763    201004297001     24018
OIL 5W30 GTX HM 5 QT CSTR
OIL FILTER 1 EA MTRCF
ADVANCE AUTO PARTS #2010 2010
ROANOKE
VA
OIL 5W30 GTX HM 5 QT CSTR
OIL FILTER 1 EA MTRCF
201004297001     24018</t>
  </si>
  <si>
    <t>3912 BRAMBLETON AVE</t>
  </si>
  <si>
    <t>24018-6403</t>
  </si>
  <si>
    <t>320260010029438839</t>
  </si>
  <si>
    <t>QHQD2XRD    4158005959
AIRBNB * HM4YY8FA2S
SAN FRANCISCO
CA
4158005959</t>
  </si>
  <si>
    <t>320253650993728304</t>
  </si>
  <si>
    <t>A1WPF1DQ    4158005959
AIRBNB * HM4YY8FA2S
SAN FRANCISCO
CA
4158005959</t>
  </si>
  <si>
    <t>320253650004848035</t>
  </si>
  <si>
    <t>E7EB37J8    4158005959
AIRBNB * HMED3B2AW3
SAN FRANCISCO
CA
4158005959</t>
  </si>
  <si>
    <t>320253650004847383</t>
  </si>
  <si>
    <t>PTT1MQ0V7OH MERCHANDISE
AMAZON MARKETPLACE NA PA
AMZN.COM/BILL
WA
MERCHANDISE</t>
  </si>
  <si>
    <t>320260020055978290</t>
  </si>
  <si>
    <t>406PGBQ0    8559731040
AplPay BT*DD *DOORDASH CHIPOTLEM
SAN FRANCISCO
CA
8559731040</t>
  </si>
  <si>
    <t>320253650992132082</t>
  </si>
  <si>
    <t>CHICK-FIL-A #04332 0CHARLOTTESVILLE     VA</t>
  </si>
  <si>
    <t>000113448   4343288068
CHICK-FIL-A #04332 000000000671508
CHARLOTTESVILLE
VA
4343288068</t>
  </si>
  <si>
    <t>1000 EMMET ST NORTH</t>
  </si>
  <si>
    <t>320260010032191345</t>
  </si>
  <si>
    <t>00017448    434-971-6614
EXXONMOBIL
CHARLOTTESVIL
VA
Description : 019 Price : 0.00
434-971-6614</t>
  </si>
  <si>
    <t>320260010030138121</t>
  </si>
  <si>
    <t xml:space="preserve">86631232    434-977-5100
LODGING
HOLIDAY INN MONTICELLO CHOSO
CHARLOTTESVIL
VA
</t>
  </si>
  <si>
    <t>320260010020171568</t>
  </si>
  <si>
    <t xml:space="preserve">86632912    434-977-5100
LODGING
HOLIDAY INN MONTICELLO CHOSO
CHARLOTTESVIL
VA
</t>
  </si>
  <si>
    <t>320260010020171586</t>
  </si>
  <si>
    <t xml:space="preserve">86632096    434-977-5100
LODGING
HOLIDAY INN MONTICELLO CHOSO
CHARLOTTESVIL
VA
</t>
  </si>
  <si>
    <t>320260010021103066</t>
  </si>
  <si>
    <t>MAGIC CITY FORD LINCROANOKE             VA</t>
  </si>
  <si>
    <t>730110053655082501          24018
MAGIC CITY FORD LINCOLN 08487002274090
ROANOKE
VA
5082501          24018</t>
  </si>
  <si>
    <t>809 WILLIAMSON RD NORTH EAST</t>
  </si>
  <si>
    <t>24016</t>
  </si>
  <si>
    <t>320260010034978310</t>
  </si>
  <si>
    <t>0249079     859-623-6705
MARATHON 253070
CLEARFIELD
KY
Description : GAS/SERVICES Price : 0.00
859-623-6705</t>
  </si>
  <si>
    <t>320260010034213520</t>
  </si>
  <si>
    <t>0249091     859-623-6705
MARATHON 253070
CLEARFIELD
KY
Description : GAS/SERVICES Price : 0.00
859-623-6705</t>
  </si>
  <si>
    <t>320260010031796006</t>
  </si>
  <si>
    <t>0249083     859-623-6705
MARATHON 253070
CLEARFIELD
KY
Description : GAS/SERVICES Price : 0.00
859-623-6705</t>
  </si>
  <si>
    <t>320260010031794364</t>
  </si>
  <si>
    <t>MCCLUNG-LOGAN EQUIP SALEM               VA</t>
  </si>
  <si>
    <t>75900001    540-989-3750
MCCLUNG-LOGAN EQUIP CO
SALEM
VA
Description : AUTOMOTIVE DEALERS Price : 0.00
540-989-3750</t>
  </si>
  <si>
    <t>2025 COOK DR</t>
  </si>
  <si>
    <t>320260010029123740</t>
  </si>
  <si>
    <t>00000065747 GAS STATION
PILOT_00396 00396
STAUNTON
VA
GAS STATION</t>
  </si>
  <si>
    <t>320260010035772424</t>
  </si>
  <si>
    <t>00000032593 AUTO FUEL DISPENSER
PILOT_00396 00396
STAUNTON
VA
AUTO FUEL DISPENSER</t>
  </si>
  <si>
    <t>320260010035749854</t>
  </si>
  <si>
    <t>TAKE 5 SHOP 1194    ROANOKE             VA</t>
  </si>
  <si>
    <t>76820002    704-618-5222
TAKE 5 SHOP 1194
ROANOKE
VA
Description : GAS/SERVICES Price : 0.00
704-618-5222</t>
  </si>
  <si>
    <t>4036 ELECTRIC RD</t>
  </si>
  <si>
    <t>320253650985204667</t>
  </si>
  <si>
    <t>12/30/2025</t>
  </si>
  <si>
    <t>1177 5TH ST SW 12680CHARLOTTESVILLE     VA</t>
  </si>
  <si>
    <t>00000007778 4349798071
1177 5TH ST SW 12680293003
CHARLOTTESVILLE
VA
4349798071</t>
  </si>
  <si>
    <t>150 NORTH DAIRY ASHFORD RD</t>
  </si>
  <si>
    <t>77079</t>
  </si>
  <si>
    <t>320253650999952180</t>
  </si>
  <si>
    <t>00000007777 4349798071
1177 5TH ST SW 12680293003
CHARLOTTESVILLE
VA
4349798071</t>
  </si>
  <si>
    <t>320253650999943451</t>
  </si>
  <si>
    <t xml:space="preserve">0055110077  S.MILLER@GUESTSINC.CO
LODGING
S.MILLER@GUESTSINC.COM
APPOMATTOX INN AND SUITES 068880021809
APPOMATTOX
VA
</t>
  </si>
  <si>
    <t>320253640958584061</t>
  </si>
  <si>
    <t>543657      8002886966
AUTOZONE #0906 000000906
DANVILLE
VA
Description : MOTORCRAFT OIL FILT Price : 0.1499
8002886966</t>
  </si>
  <si>
    <t>320253650998146727</t>
  </si>
  <si>
    <t>AplPay EXXONMOBIL   NORTH GARDEN        VA</t>
  </si>
  <si>
    <t>00017167    434-296-3626
AplPay EXXONMOBIL
NORTH GARDEN
VA
Description : 019 Price : 0.00
434-296-3626</t>
  </si>
  <si>
    <t>320253650999457560</t>
  </si>
  <si>
    <t xml:space="preserve">10156320251 4342425521
CHRISTIANS PIZZA 650000012300656
CHARLOTTESVIL
VA
</t>
  </si>
  <si>
    <t>320253650984884927</t>
  </si>
  <si>
    <t>10156320251 4346857500
CORNER MARKET 650000009048425
DANVILLE
VA
"Description : FUEL DISPENSER, AUT Price : 0.5175"
4346857500</t>
  </si>
  <si>
    <t>320253650984635309</t>
  </si>
  <si>
    <t>DOLLAR GENERAL #1346CASCADE             VA</t>
  </si>
  <si>
    <t>671157525468006789258
DOLLAR GENERAL #13468 000013468
CASCADE
VA
8006789258</t>
  </si>
  <si>
    <t>12300 MARTINSVILLE HWY</t>
  </si>
  <si>
    <t>CASCADE
VA</t>
  </si>
  <si>
    <t>24069</t>
  </si>
  <si>
    <t>320253650998095415</t>
  </si>
  <si>
    <t>00016627    434-971-6614
EXXONMOBIL
CHARLOTTESVIL
VA
Description : 019 Price : 0.00
434-971-6614</t>
  </si>
  <si>
    <t>320253650000567895</t>
  </si>
  <si>
    <t>00895506    434-797-5567
EXXONMOBIL
DANVILLE
VA
Description : 001 Price : 0.00
434-797-5567</t>
  </si>
  <si>
    <t>320253650001500882</t>
  </si>
  <si>
    <t>320253650997093807</t>
  </si>
  <si>
    <t>IDS DUMPSTER SERVICEAPPOMATTOX          VA</t>
  </si>
  <si>
    <t>84712722    424-665-1099
IDS DUMPSTER SERVICE
APPOMATTOX
VA
Description : BUSINESS SERVICES Price : 0.00
424-665-1099</t>
  </si>
  <si>
    <t>402 ACORN DR</t>
  </si>
  <si>
    <t>320253650005385516</t>
  </si>
  <si>
    <t>0247166     859-623-6705
MARATHON 253070
CLEARFIELD
KY
Description : GAS/SERVICES Price : 0.00
859-623-6705</t>
  </si>
  <si>
    <t>320253650002785932</t>
  </si>
  <si>
    <t>0247177     859-623-6705
MARATHON 253070
CLEARFIELD
KY
Description : GAS/SERVICES Price : 0.00
859-623-6705</t>
  </si>
  <si>
    <t>320253650002786704</t>
  </si>
  <si>
    <t>0247170     859-623-6705
MARATHON 253070
CLEARFIELD
KY
Description : GAS/SERVICES Price : 0.00
859-623-6705</t>
  </si>
  <si>
    <t>320253650005456942</t>
  </si>
  <si>
    <t xml:space="preserve">0863469670  434-244-9969
LODGING
SLEEP INN &amp; SUITES
CHARLOTTESVILLE
VA
</t>
  </si>
  <si>
    <t>320253640967038107</t>
  </si>
  <si>
    <t>TRUCK ENTERPRISES LYLYNCHBURG           VA</t>
  </si>
  <si>
    <t>54745806    434-845-7590
TRUCK ENTERPRISES LYNCHB
LYNCHBURG
VA
Description : BUSINESS SERVICES Price : 0.00
434-845-7590</t>
  </si>
  <si>
    <t>5605 PLEASANT VLY RD</t>
  </si>
  <si>
    <t>320253650003332488</t>
  </si>
  <si>
    <t>TST* MOE'S ORIGINAL CHARLOTTESVIL       VA</t>
  </si>
  <si>
    <t>99999995364 4342447427
TST* MOE'S ORIGINAL BBQ - 300561456
CHARLOTTESVIL
VA
Description : RESTAURANTS Price : 2.352
4342447427</t>
  </si>
  <si>
    <t>2119 IVY RD</t>
  </si>
  <si>
    <t>22903-1715</t>
  </si>
  <si>
    <t>320253650003200415</t>
  </si>
  <si>
    <t>12/29/2025</t>
  </si>
  <si>
    <t>00000007546 4349798071
1177 5TH ST SW 12680293003
CHARLOTTESVILLE
VA
4349798071</t>
  </si>
  <si>
    <t>320253640973757978</t>
  </si>
  <si>
    <t>ADVANCE AUTO PARTS  GORDONSVILLE        VA</t>
  </si>
  <si>
    <t>0001546    730608493201     24065
CAULKING GUN 1 EA PERFR
PX GLSS WLD 105OZ 1 EA PRMTX
ADVANCE AUTO PARTS
GORDONSVILLE
VA
CAULKING GUN 1 EA PERFR
PX GLSS WLD 105OZ 1 EA PRMTX
730608493201     24065</t>
  </si>
  <si>
    <t>64 FREEDOM DR</t>
  </si>
  <si>
    <t>GORDONSVILLE
VA</t>
  </si>
  <si>
    <t>22942</t>
  </si>
  <si>
    <t>320253640973328554</t>
  </si>
  <si>
    <t>1VACPK45YLL MERCHANDISE
AMAZON MARKETPLACE NA PA
AMZN.COM/BILL
WA
MERCHANDISE</t>
  </si>
  <si>
    <t>320253630936636263</t>
  </si>
  <si>
    <t>7I7VCQEPHW2 MERCHANDISE
AMAZON MARKETPLACE NA PA
AMZN.COM/BILL
WA
MERCHANDISE</t>
  </si>
  <si>
    <t>320253630933719440</t>
  </si>
  <si>
    <t>63UKDB9Q4RX MERCHANDISE
AMAZON MARKETPLACE NA PA
AMZN.COM/BILL
WA
MERCHANDISE</t>
  </si>
  <si>
    <t>320253630939427497</t>
  </si>
  <si>
    <t>31HCCBBS8G7 MERCHANDISE
AMAZON.COM
AMZN.COM/BILL
WA
MERCHANDISE</t>
  </si>
  <si>
    <t>320253640970688154</t>
  </si>
  <si>
    <t>ARCO 119198         CATAWBA             VA</t>
  </si>
  <si>
    <t>0013695     540-404-4145
ARCO 119198
CATAWBA
VA
Description : GAS/SERVICES Price : 0.00
540-404-4145</t>
  </si>
  <si>
    <t>45840</t>
  </si>
  <si>
    <t>320253640975724558</t>
  </si>
  <si>
    <t>AplPay APB RESTAURANHARRISONBURG        VA</t>
  </si>
  <si>
    <t>######g0UiR FAST FOOD RESTAURANT
AplPay APB RESTAURANTS INC.
HARRISONBURG
VA
FAST FOOD RESTAURANT</t>
  </si>
  <si>
    <t>941 EMMET ST NORTH</t>
  </si>
  <si>
    <t>320253650005114800</t>
  </si>
  <si>
    <t>00451653    434-296-2932
BP#1503600TVS FOOD MART
NORTH GARDEN
VA
Description : Regular Diesel #2 Price : 0.00
434-296-2932</t>
  </si>
  <si>
    <t>320253640976284419</t>
  </si>
  <si>
    <t>00742787   00742787         22901
General Merchandise
BP#8334740VIRGINIA OIL #
CHARLOTTESVIL
VA
General Merchandise
00742787         22901</t>
  </si>
  <si>
    <t>320253640974159547</t>
  </si>
  <si>
    <t>670324993378006789258
DOLLAR GENERAL #13468 000013468
CASCADE
VA
8006789258</t>
  </si>
  <si>
    <t>320253640971904514</t>
  </si>
  <si>
    <t>00015835    434-971-6614
EXXONMOBIL
CHARLOTTESVIL
VA
Description : 019 Price : 0.00
434-971-6614</t>
  </si>
  <si>
    <t>320253640973215854</t>
  </si>
  <si>
    <t>00894257    434-797-5567
EXXONMOBIL
DANVILLE
VA
Description : 001 Price : 0.00
434-797-5567</t>
  </si>
  <si>
    <t>320253640973761644</t>
  </si>
  <si>
    <t>IN *HESCO           RICHMOND            VA</t>
  </si>
  <si>
    <t>363I1AG756I8043530944
IN *HESCO
RICHMOND
VA
8043530944</t>
  </si>
  <si>
    <t>3014 WEST MARSHALL ST</t>
  </si>
  <si>
    <t>RICHMOND
VA</t>
  </si>
  <si>
    <t>23230-4718</t>
  </si>
  <si>
    <t>320253630932096638</t>
  </si>
  <si>
    <t>Business Services-Contracting Services</t>
  </si>
  <si>
    <t>Interest Charge on Pay Over Time Purchases</t>
  </si>
  <si>
    <t xml:space="preserve">Interest Charge on Pay Over Time Purchases
</t>
  </si>
  <si>
    <t>151230060000389831</t>
  </si>
  <si>
    <t>0245273     859-623-6705
MARATHON 253070
CLEARFIELD
KY
Description : GAS/SERVICES Price : 0.00
859-623-6705</t>
  </si>
  <si>
    <t>320253640978161798</t>
  </si>
  <si>
    <t>0245267     859-623-6705
MARATHON 253070
CLEARFIELD
KY
Description : GAS/SERVICES Price : 0.00
859-623-6705</t>
  </si>
  <si>
    <t>320253640978158835</t>
  </si>
  <si>
    <t>0245277     859-623-6705
MARATHON 253070
CLEARFIELD
KY
Description : GAS/SERVICES Price : 0.00
859-623-6705</t>
  </si>
  <si>
    <t>320253640978160696</t>
  </si>
  <si>
    <t>MCCARTHY TIRE 46, CHCHARLOTTESVIL       VA</t>
  </si>
  <si>
    <t>853692753634686705          22901
MCCARTHY TIRE 46, CHAR
CHARLOTTESVIL
VA
4686705          22901</t>
  </si>
  <si>
    <t>1028 RIV RD</t>
  </si>
  <si>
    <t>22901-4160</t>
  </si>
  <si>
    <t>320253630931352286</t>
  </si>
  <si>
    <t>MOREHEAD AUTO PARTS MOREHEAD            KY</t>
  </si>
  <si>
    <t>00330540    606-784-4213
MOREHEAD AUTO PARTS 0037448
MOREHEAD
KY
Description : AUTO PARTS/ACCESSOR Price : 0.00
606-784-4213</t>
  </si>
  <si>
    <t>722 WEST 1ST ST</t>
  </si>
  <si>
    <t>40351-1404</t>
  </si>
  <si>
    <t>320253640968938594</t>
  </si>
  <si>
    <t>PILOT_00256 00256   DANVILLE            VA</t>
  </si>
  <si>
    <t>00000081851 GAS STATION
PILOT_00256 00256
DANVILLE
VA
GAS STATION</t>
  </si>
  <si>
    <t>110 RIVERPOINT DR</t>
  </si>
  <si>
    <t>24540-5393</t>
  </si>
  <si>
    <t>320253640971433876</t>
  </si>
  <si>
    <t>00000073920 AUTO FUEL DISPENSER
PILOT_00256 00256
DANVILLE
VA
AUTO FUEL DISPENSER</t>
  </si>
  <si>
    <t>320253640971432588</t>
  </si>
  <si>
    <t>00000072692 AUTO FUEL DISPENSER
PILOT_00256 00256
DANVILLE
VA
AUTO FUEL DISPENSER</t>
  </si>
  <si>
    <t>320253640972055833</t>
  </si>
  <si>
    <t>ROUTE 58 RACEWAY    DANVILLE            VA</t>
  </si>
  <si>
    <t>00016308    434-441-3903
ROUTE 58 RACEWAY
DANVILLE
VA
Description : GAS/SERVICES Price : 0.00
434-441-3903</t>
  </si>
  <si>
    <t>2203 SOUTH BOSTON RD</t>
  </si>
  <si>
    <t>24540</t>
  </si>
  <si>
    <t>320253640973272417</t>
  </si>
  <si>
    <t>SPEEDWAY 46618 00004DANVILLE            VA</t>
  </si>
  <si>
    <t>uufsx6p6pt5 9378643000
SPEEDWAY 46618 000046618
DANVILLE
VA
Description : AUTOMATED FUEL Price : 0.598
9378643000</t>
  </si>
  <si>
    <t>320253640972111547</t>
  </si>
  <si>
    <t>0100957658 8668724850
Retail Store
TRACTOR SUPPLY CO
CHARLOTTESVILLE
VA
Retail Store
8668724850</t>
  </si>
  <si>
    <t>320253640970216895</t>
  </si>
  <si>
    <t>WENDY'S 0273 0000002ZION CROSSROA       VA</t>
  </si>
  <si>
    <t>1003000400310030004003      22942
FAST FOOD REST.
WENDY'S 0273 000000273
ZION CROSSROA
VA
FAST FOOD REST.
10030004003      22942</t>
  </si>
  <si>
    <t>441 MARKET ST</t>
  </si>
  <si>
    <t>320253640967565802</t>
  </si>
  <si>
    <t>Transaction Summary</t>
  </si>
  <si>
    <t>ACTIVITY BY CARD</t>
  </si>
  <si>
    <t>Payments &amp; Credits</t>
  </si>
  <si>
    <t>Charges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</si>
</sst>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8">
    <font>
      <sz val="11.0"/>
      <color rgb="FF000000"/>
      <name val="Aptos Narrow"/>
      <scheme val="minor"/>
    </font>
    <font>
      <b/>
      <sz val="14.0"/>
      <color rgb="FF000000"/>
      <name val="Aptos Narrow"/>
    </font>
    <font>
      <sz val="11.0"/>
      <color rgb="FF000000"/>
      <name val="Aptos Narrow"/>
    </font>
    <font>
      <color theme="1"/>
      <name val="Aptos Narrow"/>
      <scheme val="minor"/>
    </font>
    <font>
      <b/>
      <sz val="11.0"/>
      <color rgb="FF000000"/>
      <name val="Aptos Narrow"/>
    </font>
    <font>
      <b/>
      <sz val="11.0"/>
      <color rgb="FF00008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/>
      <right/>
      <top/>
      <bottom/>
    </border>
    <border>
      <left/>
      <right/>
      <top/>
      <bottom style="thin">
        <color rgb="FF000000"/>
      </bottom>
    </border>
    <border>
      <left style="medium">
        <color rgb="FFF2F2F2"/>
      </left>
      <right/>
      <top/>
      <bottom/>
    </border>
    <border>
      <left style="medium">
        <color rgb="FF000000"/>
      </left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4" xfId="0" applyFont="1" applyNumberFormat="1"/>
    <xf borderId="0" fillId="0" fontId="3" numFmtId="0" xfId="0" applyFont="1"/>
    <xf borderId="0" fillId="0" fontId="4" numFmtId="0" xfId="0" applyFont="1"/>
    <xf borderId="0" fillId="0" fontId="4" numFmtId="164" xfId="0" applyFont="1" applyNumberFormat="1"/>
    <xf borderId="1" fillId="2" fontId="2" numFmtId="0" xfId="0" applyBorder="1" applyFill="1" applyFont="1"/>
    <xf borderId="1" fillId="2" fontId="2" numFmtId="164" xfId="0" applyBorder="1" applyFont="1" applyNumberFormat="1"/>
    <xf borderId="1" fillId="2" fontId="2" numFmtId="9" xfId="0" applyBorder="1" applyFont="1" applyNumberFormat="1"/>
    <xf borderId="0" fillId="0" fontId="2" numFmtId="9" xfId="0" applyFont="1" applyNumberFormat="1"/>
    <xf borderId="0" fillId="0" fontId="4" numFmtId="4" xfId="0" applyFont="1" applyNumberFormat="1"/>
    <xf borderId="1" fillId="2" fontId="2" numFmtId="4" xfId="0" applyBorder="1" applyFont="1" applyNumberFormat="1"/>
    <xf borderId="1" fillId="2" fontId="2" numFmtId="39" xfId="0" applyBorder="1" applyFont="1" applyNumberFormat="1"/>
    <xf borderId="0" fillId="0" fontId="2" numFmtId="39" xfId="0" applyFont="1" applyNumberFormat="1"/>
    <xf borderId="2" fillId="3" fontId="5" numFmtId="0" xfId="0" applyAlignment="1" applyBorder="1" applyFill="1" applyFont="1">
      <alignment horizontal="center" shrinkToFit="0" wrapText="1"/>
    </xf>
    <xf borderId="2" fillId="3" fontId="5" numFmtId="4" xfId="0" applyAlignment="1" applyBorder="1" applyFont="1" applyNumberFormat="1">
      <alignment horizontal="center" shrinkToFit="0" wrapText="1"/>
    </xf>
    <xf borderId="3" fillId="4" fontId="6" numFmtId="0" xfId="0" applyAlignment="1" applyBorder="1" applyFill="1" applyFont="1">
      <alignment horizontal="left" shrinkToFit="0" wrapText="1"/>
    </xf>
    <xf borderId="3" fillId="4" fontId="6" numFmtId="4" xfId="0" applyAlignment="1" applyBorder="1" applyFont="1" applyNumberFormat="1">
      <alignment horizontal="right" shrinkToFit="0" wrapText="1"/>
    </xf>
    <xf borderId="1" fillId="5" fontId="2" numFmtId="0" xfId="0" applyBorder="1" applyFill="1" applyFont="1"/>
    <xf borderId="3" fillId="6" fontId="6" numFmtId="0" xfId="0" applyAlignment="1" applyBorder="1" applyFill="1" applyFont="1">
      <alignment horizontal="left" shrinkToFit="0" wrapText="1"/>
    </xf>
    <xf borderId="3" fillId="6" fontId="6" numFmtId="4" xfId="0" applyAlignment="1" applyBorder="1" applyFont="1" applyNumberFormat="1">
      <alignment horizontal="right" shrinkToFit="0" wrapText="1"/>
    </xf>
    <xf borderId="0" fillId="0" fontId="2" numFmtId="0" xfId="0" applyFont="1"/>
    <xf borderId="1" fillId="4" fontId="6" numFmtId="0" xfId="0" applyAlignment="1" applyBorder="1" applyFont="1">
      <alignment horizontal="left" shrinkToFit="0" wrapText="1"/>
    </xf>
    <xf borderId="1" fillId="4" fontId="6" numFmtId="4" xfId="0" applyAlignment="1" applyBorder="1" applyFont="1" applyNumberFormat="1">
      <alignment horizontal="right" shrinkToFit="0" wrapText="1"/>
    </xf>
    <xf borderId="1" fillId="6" fontId="6" numFmtId="0" xfId="0" applyAlignment="1" applyBorder="1" applyFont="1">
      <alignment horizontal="left" shrinkToFit="0" wrapText="1"/>
    </xf>
    <xf borderId="1" fillId="6" fontId="6" numFmtId="4" xfId="0" applyAlignment="1" applyBorder="1" applyFont="1" applyNumberFormat="1">
      <alignment horizontal="right" shrinkToFit="0" wrapText="1"/>
    </xf>
    <xf borderId="1" fillId="6" fontId="6" numFmtId="2" xfId="0" applyAlignment="1" applyBorder="1" applyFont="1" applyNumberFormat="1">
      <alignment horizontal="right" shrinkToFit="0" wrapText="1"/>
    </xf>
    <xf borderId="1" fillId="4" fontId="6" numFmtId="2" xfId="0" applyAlignment="1" applyBorder="1" applyFont="1" applyNumberFormat="1">
      <alignment horizontal="right" shrinkToFit="0" wrapText="1"/>
    </xf>
    <xf borderId="0" fillId="0" fontId="2" numFmtId="2" xfId="0" applyFont="1" applyNumberFormat="1"/>
    <xf borderId="2" fillId="3" fontId="5" numFmtId="39" xfId="0" applyAlignment="1" applyBorder="1" applyFont="1" applyNumberFormat="1">
      <alignment horizontal="center" shrinkToFit="0" wrapText="1"/>
    </xf>
    <xf borderId="1" fillId="4" fontId="6" numFmtId="39" xfId="0" applyAlignment="1" applyBorder="1" applyFont="1" applyNumberFormat="1">
      <alignment horizontal="right" shrinkToFit="0" wrapText="1"/>
    </xf>
    <xf borderId="1" fillId="6" fontId="6" numFmtId="39" xfId="0" applyAlignment="1" applyBorder="1" applyFont="1" applyNumberFormat="1">
      <alignment horizontal="right" shrinkToFit="0" wrapText="1"/>
    </xf>
    <xf borderId="0" fillId="0" fontId="4" numFmtId="39" xfId="0" applyFont="1" applyNumberFormat="1"/>
    <xf borderId="1" fillId="4" fontId="5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horizontal="left" shrinkToFit="0" wrapText="1"/>
    </xf>
    <xf borderId="3" fillId="4" fontId="6" numFmtId="2" xfId="0" applyAlignment="1" applyBorder="1" applyFont="1" applyNumberFormat="1">
      <alignment horizontal="right" shrinkToFit="0" wrapText="1"/>
    </xf>
    <xf borderId="3" fillId="6" fontId="6" numFmtId="2" xfId="0" applyAlignment="1" applyBorder="1" applyFont="1" applyNumberFormat="1">
      <alignment horizontal="right" shrinkToFit="0" wrapText="1"/>
    </xf>
    <xf borderId="4" fillId="6" fontId="7" numFmtId="0" xfId="0" applyAlignment="1" applyBorder="1" applyFont="1">
      <alignment horizontal="left" shrinkToFit="0" wrapText="1"/>
    </xf>
    <xf borderId="3" fillId="6" fontId="7" numFmtId="2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3" width="8.63"/>
    <col customWidth="1" min="4" max="4" width="14.63"/>
    <col customWidth="1" min="5" max="5" width="11.63"/>
    <col customWidth="1" min="6" max="6" width="16.0"/>
    <col customWidth="1" min="7" max="7" width="10.75"/>
    <col customWidth="1" min="8" max="8" width="12.0"/>
    <col customWidth="1" min="9" max="26" width="8.63"/>
  </cols>
  <sheetData>
    <row r="1">
      <c r="A1" s="1" t="s">
        <v>0</v>
      </c>
      <c r="B1" s="2"/>
      <c r="D1" s="3"/>
      <c r="E1" s="2"/>
    </row>
    <row r="2">
      <c r="B2" s="2"/>
      <c r="D2" s="3"/>
      <c r="E2" s="2"/>
    </row>
    <row r="3">
      <c r="A3" s="4" t="s">
        <v>1</v>
      </c>
      <c r="B3" s="2"/>
      <c r="D3" s="3"/>
      <c r="E3" s="2"/>
    </row>
    <row r="4">
      <c r="A4" s="4" t="s">
        <v>2</v>
      </c>
      <c r="B4" s="2"/>
      <c r="D4" s="3"/>
      <c r="E4" s="2"/>
    </row>
    <row r="5">
      <c r="A5" s="4" t="s">
        <v>3</v>
      </c>
      <c r="B5" s="2"/>
      <c r="D5" s="3"/>
      <c r="E5" s="2"/>
    </row>
    <row r="6">
      <c r="E6" s="2"/>
    </row>
    <row r="7">
      <c r="E7" s="2"/>
    </row>
    <row r="8">
      <c r="E8" s="2"/>
    </row>
    <row r="9">
      <c r="A9" s="5" t="s">
        <v>4</v>
      </c>
      <c r="C9" s="5" t="s">
        <v>5</v>
      </c>
      <c r="D9" s="5"/>
      <c r="E9" s="6" t="s">
        <v>6</v>
      </c>
      <c r="F9" s="5" t="s">
        <v>7</v>
      </c>
      <c r="G9" s="5" t="s">
        <v>8</v>
      </c>
      <c r="H9" s="5" t="s">
        <v>9</v>
      </c>
    </row>
    <row r="10">
      <c r="C10" s="7" t="s">
        <v>10</v>
      </c>
      <c r="D10" s="7"/>
      <c r="E10" s="8">
        <v>33787.32</v>
      </c>
      <c r="F10" s="7">
        <v>112.0</v>
      </c>
      <c r="G10" s="9">
        <v>0.44375803956602566</v>
      </c>
      <c r="H10" s="9">
        <v>0.27184466019417475</v>
      </c>
    </row>
    <row r="11">
      <c r="C11" s="4" t="s">
        <v>11</v>
      </c>
      <c r="E11" s="2">
        <v>42351.740000000005</v>
      </c>
      <c r="F11" s="4">
        <v>300.0</v>
      </c>
      <c r="G11" s="10">
        <v>0.5562419604339744</v>
      </c>
      <c r="H11" s="10">
        <v>0.7281553398058253</v>
      </c>
    </row>
    <row r="12">
      <c r="E12" s="2">
        <v>76139.06</v>
      </c>
      <c r="F12" s="4">
        <v>412.0</v>
      </c>
    </row>
    <row r="13">
      <c r="E13" s="2"/>
    </row>
    <row r="14">
      <c r="A14" s="5" t="s">
        <v>12</v>
      </c>
      <c r="C14" s="5" t="s">
        <v>5</v>
      </c>
      <c r="D14" s="5"/>
      <c r="E14" s="6"/>
      <c r="F14" s="5" t="s">
        <v>7</v>
      </c>
      <c r="G14" s="5" t="s">
        <v>8</v>
      </c>
      <c r="H14" s="5" t="s">
        <v>9</v>
      </c>
    </row>
    <row r="15">
      <c r="A15" s="4" t="s">
        <v>13</v>
      </c>
      <c r="C15" s="7" t="s">
        <v>10</v>
      </c>
      <c r="D15" s="7"/>
      <c r="E15" s="8">
        <v>137.79</v>
      </c>
      <c r="F15" s="7">
        <v>1.0</v>
      </c>
      <c r="G15" s="9">
        <v>0.030252067630792592</v>
      </c>
      <c r="H15" s="9">
        <v>0.02564102564102564</v>
      </c>
    </row>
    <row r="16">
      <c r="C16" s="4" t="s">
        <v>11</v>
      </c>
      <c r="E16" s="2">
        <v>4416.940000000001</v>
      </c>
      <c r="F16" s="4">
        <v>38.0</v>
      </c>
      <c r="G16" s="10">
        <v>0.9697479323692074</v>
      </c>
      <c r="H16" s="10">
        <v>0.9743589743589743</v>
      </c>
    </row>
    <row r="17">
      <c r="C17" s="4" t="s">
        <v>14</v>
      </c>
      <c r="E17" s="2">
        <v>4554.730000000001</v>
      </c>
      <c r="F17" s="4">
        <v>39.0</v>
      </c>
    </row>
    <row r="18">
      <c r="E18" s="2"/>
    </row>
    <row r="19">
      <c r="C19" s="5"/>
      <c r="D19" s="5"/>
      <c r="E19" s="11"/>
      <c r="F19" s="5"/>
      <c r="G19" s="5"/>
      <c r="H19" s="5"/>
    </row>
    <row r="20">
      <c r="A20" s="4" t="s">
        <v>15</v>
      </c>
      <c r="C20" s="7" t="s">
        <v>10</v>
      </c>
      <c r="D20" s="7"/>
      <c r="E20" s="12">
        <v>2049.4</v>
      </c>
      <c r="F20" s="7">
        <v>11.0</v>
      </c>
      <c r="G20" s="9">
        <v>0.32717949372908633</v>
      </c>
      <c r="H20" s="9">
        <v>0.1864406779661017</v>
      </c>
    </row>
    <row r="21" ht="15.75" customHeight="1">
      <c r="C21" s="4" t="s">
        <v>11</v>
      </c>
      <c r="E21" s="3">
        <v>4214.44</v>
      </c>
      <c r="F21" s="4">
        <v>48.0</v>
      </c>
      <c r="G21" s="10">
        <v>0.6728205062709136</v>
      </c>
      <c r="H21" s="10">
        <v>0.8135593220338984</v>
      </c>
    </row>
    <row r="22" ht="15.75" customHeight="1">
      <c r="C22" s="4" t="s">
        <v>14</v>
      </c>
      <c r="E22" s="3">
        <v>6263.84</v>
      </c>
      <c r="F22" s="4">
        <v>59.0</v>
      </c>
      <c r="G22" s="10"/>
      <c r="H22" s="10"/>
    </row>
    <row r="23" ht="15.75" customHeight="1">
      <c r="E23" s="2"/>
    </row>
    <row r="24" ht="15.75" customHeight="1">
      <c r="E24" s="2"/>
    </row>
    <row r="25" ht="15.75" customHeight="1">
      <c r="A25" s="4" t="s">
        <v>16</v>
      </c>
      <c r="C25" s="7" t="s">
        <v>10</v>
      </c>
      <c r="D25" s="7"/>
      <c r="E25" s="12">
        <v>490.46000000000004</v>
      </c>
      <c r="F25" s="7">
        <v>7.0</v>
      </c>
      <c r="G25" s="9">
        <v>0.1631169349474524</v>
      </c>
      <c r="H25" s="9">
        <v>0.25</v>
      </c>
    </row>
    <row r="26" ht="15.75" customHeight="1">
      <c r="C26" s="4" t="s">
        <v>11</v>
      </c>
      <c r="E26" s="3">
        <v>2516.3400000000006</v>
      </c>
      <c r="F26" s="4">
        <v>21.0</v>
      </c>
      <c r="G26" s="10">
        <v>0.8368830650525476</v>
      </c>
      <c r="H26" s="10">
        <v>0.75</v>
      </c>
    </row>
    <row r="27" ht="15.75" customHeight="1">
      <c r="C27" s="4" t="s">
        <v>14</v>
      </c>
      <c r="E27" s="3">
        <v>3006.8000000000006</v>
      </c>
      <c r="F27" s="4">
        <v>28.0</v>
      </c>
    </row>
    <row r="28" ht="15.75" customHeight="1">
      <c r="E28" s="2"/>
    </row>
    <row r="29" ht="15.75" customHeight="1">
      <c r="E29" s="2"/>
    </row>
    <row r="30" ht="15.75" customHeight="1">
      <c r="A30" s="4" t="s">
        <v>17</v>
      </c>
      <c r="C30" s="7" t="s">
        <v>10</v>
      </c>
      <c r="D30" s="7"/>
      <c r="E30" s="12">
        <v>4151.75</v>
      </c>
      <c r="F30" s="7">
        <v>21.0</v>
      </c>
      <c r="G30" s="9">
        <v>0.17720280144109724</v>
      </c>
      <c r="H30" s="9">
        <v>0.1640625</v>
      </c>
    </row>
    <row r="31" ht="15.75" customHeight="1">
      <c r="C31" s="4" t="s">
        <v>11</v>
      </c>
      <c r="E31" s="3">
        <v>19277.62</v>
      </c>
      <c r="F31" s="4">
        <v>107.0</v>
      </c>
      <c r="G31" s="10">
        <v>0.8359375</v>
      </c>
      <c r="H31" s="10">
        <v>0.8359375</v>
      </c>
    </row>
    <row r="32" ht="15.75" customHeight="1">
      <c r="C32" s="4" t="s">
        <v>14</v>
      </c>
      <c r="E32" s="3">
        <v>23429.37</v>
      </c>
      <c r="F32" s="4">
        <v>128.0</v>
      </c>
    </row>
    <row r="33" ht="15.75" customHeight="1">
      <c r="E33" s="2"/>
    </row>
    <row r="34" ht="15.75" customHeight="1">
      <c r="E34" s="2"/>
    </row>
    <row r="35" ht="15.75" customHeight="1">
      <c r="A35" s="4" t="s">
        <v>18</v>
      </c>
      <c r="C35" s="7" t="s">
        <v>10</v>
      </c>
      <c r="D35" s="7"/>
      <c r="E35" s="12">
        <v>6253.0</v>
      </c>
      <c r="F35" s="7">
        <v>27.0</v>
      </c>
      <c r="G35" s="9">
        <v>0.8362577166272588</v>
      </c>
      <c r="H35" s="9">
        <v>0.6428571428571429</v>
      </c>
    </row>
    <row r="36" ht="15.75" customHeight="1">
      <c r="C36" s="4" t="s">
        <v>11</v>
      </c>
      <c r="E36" s="3">
        <v>1224.3600000000001</v>
      </c>
      <c r="F36" s="4">
        <v>15.0</v>
      </c>
      <c r="G36" s="10">
        <v>0.1637422833727412</v>
      </c>
      <c r="H36" s="10">
        <v>0.35714285714285715</v>
      </c>
    </row>
    <row r="37" ht="15.75" customHeight="1">
      <c r="C37" s="4" t="s">
        <v>14</v>
      </c>
      <c r="E37" s="3">
        <v>7477.360000000001</v>
      </c>
      <c r="F37" s="4">
        <v>42.0</v>
      </c>
    </row>
    <row r="38" ht="15.75" customHeight="1">
      <c r="E38" s="2"/>
    </row>
    <row r="39" ht="15.75" customHeight="1">
      <c r="E39" s="2"/>
    </row>
    <row r="40" ht="15.75" customHeight="1">
      <c r="A40" s="4" t="s">
        <v>19</v>
      </c>
      <c r="C40" s="7" t="s">
        <v>10</v>
      </c>
      <c r="D40" s="7"/>
      <c r="E40" s="12">
        <v>15235.08</v>
      </c>
      <c r="F40" s="7">
        <v>21.0</v>
      </c>
      <c r="G40" s="9">
        <v>0.7986642692011302</v>
      </c>
      <c r="H40" s="9">
        <v>0.375</v>
      </c>
    </row>
    <row r="41" ht="15.75" customHeight="1">
      <c r="C41" s="4" t="s">
        <v>11</v>
      </c>
      <c r="E41" s="3">
        <v>3840.62</v>
      </c>
      <c r="F41" s="4">
        <v>35.0</v>
      </c>
      <c r="G41" s="10">
        <v>0.20133573079886977</v>
      </c>
      <c r="H41" s="10">
        <v>0.625</v>
      </c>
    </row>
    <row r="42" ht="15.75" customHeight="1">
      <c r="C42" s="4" t="s">
        <v>14</v>
      </c>
      <c r="E42" s="3">
        <v>19075.7</v>
      </c>
      <c r="F42" s="4">
        <v>56.0</v>
      </c>
    </row>
    <row r="43" ht="15.75" customHeight="1">
      <c r="E43" s="2"/>
    </row>
    <row r="44" ht="15.75" customHeight="1">
      <c r="E44" s="2"/>
    </row>
    <row r="45" ht="15.75" customHeight="1">
      <c r="A45" s="4" t="s">
        <v>20</v>
      </c>
      <c r="C45" s="7" t="s">
        <v>10</v>
      </c>
      <c r="D45" s="7"/>
      <c r="E45" s="7">
        <v>2023.52</v>
      </c>
      <c r="F45" s="7">
        <v>10.0</v>
      </c>
      <c r="G45" s="9">
        <v>0.5113411231957304</v>
      </c>
      <c r="H45" s="9">
        <v>0.625</v>
      </c>
    </row>
    <row r="46" ht="15.75" customHeight="1">
      <c r="C46" s="4" t="s">
        <v>11</v>
      </c>
      <c r="E46" s="4">
        <v>1933.76</v>
      </c>
      <c r="F46" s="4">
        <v>6.0</v>
      </c>
      <c r="G46" s="10">
        <v>0.4886588768042696</v>
      </c>
      <c r="H46" s="10">
        <v>0.375</v>
      </c>
    </row>
    <row r="47" ht="15.75" customHeight="1">
      <c r="C47" s="4" t="s">
        <v>14</v>
      </c>
      <c r="E47" s="4">
        <v>3957.2799999999997</v>
      </c>
      <c r="F47" s="4">
        <v>16.0</v>
      </c>
    </row>
    <row r="48" ht="15.75" customHeight="1">
      <c r="E48" s="2"/>
    </row>
    <row r="49" ht="15.75" customHeight="1">
      <c r="E49" s="2"/>
    </row>
    <row r="50" ht="15.75" customHeight="1">
      <c r="A50" s="4" t="s">
        <v>21</v>
      </c>
      <c r="C50" s="7" t="s">
        <v>10</v>
      </c>
      <c r="D50" s="7"/>
      <c r="E50" s="13">
        <v>3441.3199999999997</v>
      </c>
      <c r="F50" s="7">
        <v>13.0</v>
      </c>
      <c r="G50" s="9">
        <v>0.41119945321891077</v>
      </c>
      <c r="H50" s="9">
        <v>0.3023255813953488</v>
      </c>
    </row>
    <row r="51" ht="15.75" customHeight="1">
      <c r="C51" s="4" t="s">
        <v>11</v>
      </c>
      <c r="E51" s="14">
        <v>4927.66</v>
      </c>
      <c r="F51" s="4">
        <v>30.0</v>
      </c>
      <c r="G51" s="10">
        <v>0.5888005467810892</v>
      </c>
      <c r="H51" s="10">
        <v>0.6976744186046512</v>
      </c>
    </row>
    <row r="52" ht="15.75" customHeight="1">
      <c r="C52" s="4" t="s">
        <v>14</v>
      </c>
      <c r="E52" s="14">
        <v>8368.98</v>
      </c>
      <c r="F52" s="4">
        <v>43.0</v>
      </c>
    </row>
    <row r="53" ht="15.75" customHeight="1">
      <c r="E53" s="2"/>
    </row>
    <row r="54" ht="15.75" customHeight="1">
      <c r="E54" s="2"/>
    </row>
    <row r="55" ht="15.75" customHeight="1">
      <c r="E55" s="2"/>
    </row>
    <row r="56" ht="15.75" customHeight="1">
      <c r="E56" s="2"/>
    </row>
    <row r="57" ht="15.75" customHeight="1">
      <c r="E57" s="2"/>
    </row>
    <row r="58" ht="15.75" customHeight="1">
      <c r="E58" s="2"/>
    </row>
    <row r="59" ht="15.75" customHeight="1">
      <c r="E59" s="2"/>
    </row>
    <row r="60" ht="15.75" customHeight="1">
      <c r="E60" s="2"/>
    </row>
    <row r="61" ht="15.75" customHeight="1">
      <c r="E61" s="2"/>
    </row>
    <row r="62" ht="15.75" customHeight="1">
      <c r="E62" s="2"/>
    </row>
    <row r="63" ht="15.75" customHeight="1">
      <c r="E63" s="2"/>
    </row>
    <row r="64" ht="15.75" customHeight="1">
      <c r="E64" s="2"/>
    </row>
    <row r="65" ht="15.75" customHeight="1">
      <c r="E65" s="2"/>
    </row>
    <row r="66" ht="15.75" customHeight="1">
      <c r="E66" s="2"/>
    </row>
    <row r="67" ht="15.75" customHeight="1">
      <c r="E67" s="2"/>
    </row>
    <row r="68" ht="15.75" customHeight="1">
      <c r="E68" s="2"/>
    </row>
    <row r="69" ht="15.75" customHeight="1">
      <c r="E69" s="2"/>
    </row>
    <row r="70" ht="15.75" customHeight="1">
      <c r="E70" s="2"/>
    </row>
    <row r="71" ht="15.75" customHeight="1">
      <c r="E71" s="2"/>
    </row>
    <row r="72" ht="15.75" customHeight="1">
      <c r="E72" s="2"/>
    </row>
    <row r="73" ht="15.75" customHeight="1">
      <c r="E73" s="2"/>
    </row>
    <row r="74" ht="15.75" customHeight="1">
      <c r="E74" s="2"/>
    </row>
    <row r="75" ht="15.75" customHeight="1">
      <c r="E75" s="2"/>
    </row>
    <row r="76" ht="15.75" customHeight="1">
      <c r="E76" s="2"/>
    </row>
    <row r="77" ht="15.75" customHeight="1">
      <c r="E77" s="2"/>
    </row>
    <row r="78" ht="15.75" customHeight="1">
      <c r="E78" s="2"/>
    </row>
    <row r="79" ht="15.75" customHeight="1">
      <c r="E79" s="2"/>
    </row>
    <row r="80" ht="15.75" customHeight="1">
      <c r="E80" s="2"/>
    </row>
    <row r="81" ht="15.75" customHeight="1">
      <c r="E81" s="2"/>
    </row>
    <row r="82" ht="15.75" customHeight="1">
      <c r="E82" s="2"/>
    </row>
    <row r="83" ht="15.75" customHeight="1">
      <c r="E83" s="2"/>
    </row>
    <row r="84" ht="15.75" customHeight="1">
      <c r="E84" s="2"/>
    </row>
    <row r="85" ht="15.75" customHeight="1">
      <c r="E85" s="2"/>
    </row>
    <row r="86" ht="15.75" customHeight="1">
      <c r="E86" s="2"/>
    </row>
    <row r="87" ht="15.75" customHeight="1">
      <c r="E87" s="2"/>
    </row>
    <row r="88" ht="15.75" customHeight="1">
      <c r="E88" s="2"/>
    </row>
    <row r="89" ht="15.75" customHeight="1">
      <c r="E89" s="2"/>
    </row>
    <row r="90" ht="15.75" customHeight="1">
      <c r="E90" s="2"/>
    </row>
    <row r="91" ht="15.75" customHeight="1">
      <c r="E91" s="2"/>
    </row>
    <row r="92" ht="15.75" customHeight="1">
      <c r="E92" s="2"/>
    </row>
    <row r="93" ht="15.75" customHeight="1">
      <c r="E93" s="2"/>
    </row>
    <row r="94" ht="15.75" customHeight="1">
      <c r="E94" s="2"/>
    </row>
    <row r="95" ht="15.75" customHeight="1">
      <c r="E95" s="2"/>
    </row>
    <row r="96" ht="15.75" customHeight="1">
      <c r="E96" s="2"/>
    </row>
    <row r="97" ht="15.75" customHeight="1">
      <c r="E97" s="2"/>
    </row>
    <row r="98" ht="15.75" customHeight="1">
      <c r="E98" s="2"/>
    </row>
    <row r="99" ht="15.75" customHeight="1">
      <c r="E99" s="2"/>
    </row>
    <row r="100" ht="15.75" customHeight="1">
      <c r="E100" s="2"/>
    </row>
    <row r="101" ht="15.75" customHeight="1">
      <c r="E101" s="2"/>
    </row>
    <row r="102" ht="15.75" customHeight="1">
      <c r="E102" s="2"/>
    </row>
    <row r="103" ht="15.75" customHeight="1">
      <c r="E103" s="2"/>
    </row>
    <row r="104" ht="15.75" customHeight="1">
      <c r="E104" s="2"/>
    </row>
    <row r="105" ht="15.75" customHeight="1">
      <c r="E105" s="2"/>
    </row>
    <row r="106" ht="15.75" customHeight="1">
      <c r="E106" s="2"/>
    </row>
    <row r="107" ht="15.75" customHeight="1">
      <c r="E107" s="2"/>
    </row>
    <row r="108" ht="15.75" customHeight="1">
      <c r="E108" s="2"/>
    </row>
    <row r="109" ht="15.75" customHeight="1">
      <c r="E109" s="2"/>
    </row>
    <row r="110" ht="15.75" customHeight="1">
      <c r="E110" s="2"/>
    </row>
    <row r="111" ht="15.75" customHeight="1">
      <c r="E111" s="2"/>
    </row>
    <row r="112" ht="15.75" customHeight="1">
      <c r="E112" s="2"/>
    </row>
    <row r="113" ht="15.75" customHeight="1">
      <c r="E113" s="2"/>
    </row>
    <row r="114" ht="15.75" customHeight="1">
      <c r="E114" s="2"/>
    </row>
    <row r="115" ht="15.75" customHeight="1">
      <c r="E115" s="2"/>
    </row>
    <row r="116" ht="15.75" customHeight="1">
      <c r="E116" s="2"/>
    </row>
    <row r="117" ht="15.75" customHeight="1">
      <c r="E117" s="2"/>
    </row>
    <row r="118" ht="15.75" customHeight="1">
      <c r="E118" s="2"/>
    </row>
    <row r="119" ht="15.75" customHeight="1">
      <c r="E119" s="2"/>
    </row>
    <row r="120" ht="15.75" customHeight="1">
      <c r="E120" s="2"/>
    </row>
    <row r="121" ht="15.75" customHeight="1">
      <c r="E121" s="2"/>
    </row>
    <row r="122" ht="15.75" customHeight="1">
      <c r="E122" s="2"/>
    </row>
    <row r="123" ht="15.75" customHeight="1">
      <c r="E123" s="2"/>
    </row>
    <row r="124" ht="15.75" customHeight="1">
      <c r="E124" s="2"/>
    </row>
    <row r="125" ht="15.75" customHeight="1">
      <c r="E125" s="2"/>
    </row>
    <row r="126" ht="15.75" customHeight="1">
      <c r="E126" s="2"/>
    </row>
    <row r="127" ht="15.75" customHeight="1">
      <c r="E127" s="2"/>
    </row>
    <row r="128" ht="15.75" customHeight="1">
      <c r="E128" s="2"/>
    </row>
    <row r="129" ht="15.75" customHeight="1">
      <c r="E129" s="2"/>
    </row>
    <row r="130" ht="15.75" customHeight="1">
      <c r="E130" s="2"/>
    </row>
    <row r="131" ht="15.75" customHeight="1">
      <c r="E131" s="2"/>
    </row>
    <row r="132" ht="15.75" customHeight="1">
      <c r="E132" s="2"/>
    </row>
    <row r="133" ht="15.75" customHeight="1">
      <c r="E133" s="2"/>
    </row>
    <row r="134" ht="15.75" customHeight="1">
      <c r="E134" s="2"/>
    </row>
    <row r="135" ht="15.75" customHeight="1">
      <c r="E135" s="2"/>
    </row>
    <row r="136" ht="15.75" customHeight="1">
      <c r="E136" s="2"/>
    </row>
    <row r="137" ht="15.75" customHeight="1">
      <c r="E137" s="2"/>
    </row>
    <row r="138" ht="15.75" customHeight="1">
      <c r="E138" s="2"/>
    </row>
    <row r="139" ht="15.75" customHeight="1">
      <c r="E139" s="2"/>
    </row>
    <row r="140" ht="15.75" customHeight="1">
      <c r="E140" s="2"/>
    </row>
    <row r="141" ht="15.75" customHeight="1">
      <c r="E141" s="2"/>
    </row>
    <row r="142" ht="15.75" customHeight="1">
      <c r="E142" s="2"/>
    </row>
    <row r="143" ht="15.75" customHeight="1">
      <c r="E143" s="2"/>
    </row>
    <row r="144" ht="15.75" customHeight="1">
      <c r="E144" s="2"/>
    </row>
    <row r="145" ht="15.75" customHeight="1">
      <c r="E145" s="2"/>
    </row>
    <row r="146" ht="15.75" customHeight="1">
      <c r="E146" s="2"/>
    </row>
    <row r="147" ht="15.75" customHeight="1">
      <c r="E147" s="2"/>
    </row>
    <row r="148" ht="15.75" customHeight="1">
      <c r="E148" s="2"/>
    </row>
    <row r="149" ht="15.75" customHeight="1">
      <c r="E149" s="2"/>
    </row>
    <row r="150" ht="15.75" customHeight="1">
      <c r="E150" s="2"/>
    </row>
    <row r="151" ht="15.75" customHeight="1">
      <c r="E151" s="2"/>
    </row>
    <row r="152" ht="15.75" customHeight="1">
      <c r="E152" s="2"/>
    </row>
    <row r="153" ht="15.75" customHeight="1">
      <c r="E153" s="2"/>
    </row>
    <row r="154" ht="15.75" customHeight="1">
      <c r="E154" s="2"/>
    </row>
    <row r="155" ht="15.75" customHeight="1">
      <c r="E155" s="2"/>
    </row>
    <row r="156" ht="15.75" customHeight="1">
      <c r="E156" s="2"/>
    </row>
    <row r="157" ht="15.75" customHeight="1">
      <c r="E157" s="2"/>
    </row>
    <row r="158" ht="15.75" customHeight="1">
      <c r="E158" s="2"/>
    </row>
    <row r="159" ht="15.75" customHeight="1">
      <c r="E159" s="2"/>
    </row>
    <row r="160" ht="15.75" customHeight="1">
      <c r="E160" s="2"/>
    </row>
    <row r="161" ht="15.75" customHeight="1">
      <c r="E161" s="2"/>
    </row>
    <row r="162" ht="15.75" customHeight="1">
      <c r="E162" s="2"/>
    </row>
    <row r="163" ht="15.75" customHeight="1">
      <c r="E163" s="2"/>
    </row>
    <row r="164" ht="15.75" customHeight="1">
      <c r="E164" s="2"/>
    </row>
    <row r="165" ht="15.75" customHeight="1">
      <c r="E165" s="2"/>
    </row>
    <row r="166" ht="15.75" customHeight="1">
      <c r="E166" s="2"/>
    </row>
    <row r="167" ht="15.75" customHeight="1">
      <c r="E167" s="2"/>
    </row>
    <row r="168" ht="15.75" customHeight="1">
      <c r="E168" s="2"/>
    </row>
    <row r="169" ht="15.75" customHeight="1">
      <c r="E169" s="2"/>
    </row>
    <row r="170" ht="15.75" customHeight="1">
      <c r="E170" s="2"/>
    </row>
    <row r="171" ht="15.75" customHeight="1">
      <c r="E171" s="2"/>
    </row>
    <row r="172" ht="15.75" customHeight="1">
      <c r="E172" s="2"/>
    </row>
    <row r="173" ht="15.75" customHeight="1">
      <c r="E173" s="2"/>
    </row>
    <row r="174" ht="15.75" customHeight="1">
      <c r="E174" s="2"/>
    </row>
    <row r="175" ht="15.75" customHeight="1">
      <c r="E175" s="2"/>
    </row>
    <row r="176" ht="15.75" customHeight="1">
      <c r="E176" s="2"/>
    </row>
    <row r="177" ht="15.75" customHeight="1">
      <c r="E177" s="2"/>
    </row>
    <row r="178" ht="15.75" customHeight="1">
      <c r="E178" s="2"/>
    </row>
    <row r="179" ht="15.75" customHeight="1">
      <c r="E179" s="2"/>
    </row>
    <row r="180" ht="15.75" customHeight="1">
      <c r="E180" s="2"/>
    </row>
    <row r="181" ht="15.75" customHeight="1">
      <c r="E181" s="2"/>
    </row>
    <row r="182" ht="15.75" customHeight="1">
      <c r="E182" s="2"/>
    </row>
    <row r="183" ht="15.75" customHeight="1">
      <c r="E183" s="2"/>
    </row>
    <row r="184" ht="15.75" customHeight="1">
      <c r="E184" s="2"/>
    </row>
    <row r="185" ht="15.75" customHeight="1">
      <c r="E185" s="2"/>
    </row>
    <row r="186" ht="15.75" customHeight="1">
      <c r="E186" s="2"/>
    </row>
    <row r="187" ht="15.75" customHeight="1">
      <c r="E187" s="2"/>
    </row>
    <row r="188" ht="15.75" customHeight="1">
      <c r="E188" s="2"/>
    </row>
    <row r="189" ht="15.75" customHeight="1">
      <c r="E189" s="2"/>
    </row>
    <row r="190" ht="15.75" customHeight="1">
      <c r="E190" s="2"/>
    </row>
    <row r="191" ht="15.75" customHeight="1">
      <c r="E191" s="2"/>
    </row>
    <row r="192" ht="15.75" customHeight="1">
      <c r="E192" s="2"/>
    </row>
    <row r="193" ht="15.75" customHeight="1">
      <c r="E193" s="2"/>
    </row>
    <row r="194" ht="15.75" customHeight="1">
      <c r="E194" s="2"/>
    </row>
    <row r="195" ht="15.75" customHeight="1">
      <c r="E195" s="2"/>
    </row>
    <row r="196" ht="15.75" customHeight="1">
      <c r="E196" s="2"/>
    </row>
    <row r="197" ht="15.75" customHeight="1">
      <c r="E197" s="2"/>
    </row>
    <row r="198" ht="15.75" customHeight="1">
      <c r="E198" s="2"/>
    </row>
    <row r="199" ht="15.75" customHeight="1">
      <c r="E199" s="2"/>
    </row>
    <row r="200" ht="15.75" customHeight="1">
      <c r="E200" s="2"/>
    </row>
    <row r="201" ht="15.75" customHeight="1">
      <c r="E201" s="2"/>
    </row>
    <row r="202" ht="15.75" customHeight="1">
      <c r="E202" s="2"/>
    </row>
    <row r="203" ht="15.75" customHeight="1">
      <c r="E203" s="2"/>
    </row>
    <row r="204" ht="15.75" customHeight="1">
      <c r="E204" s="2"/>
    </row>
    <row r="205" ht="15.75" customHeight="1">
      <c r="E205" s="2"/>
    </row>
    <row r="206" ht="15.75" customHeight="1">
      <c r="E206" s="2"/>
    </row>
    <row r="207" ht="15.75" customHeight="1">
      <c r="E207" s="2"/>
    </row>
    <row r="208" ht="15.75" customHeight="1">
      <c r="E208" s="2"/>
    </row>
    <row r="209" ht="15.75" customHeight="1">
      <c r="E209" s="2"/>
    </row>
    <row r="210" ht="15.75" customHeight="1">
      <c r="E210" s="2"/>
    </row>
    <row r="211" ht="15.75" customHeight="1">
      <c r="E211" s="2"/>
    </row>
    <row r="212" ht="15.75" customHeight="1">
      <c r="E212" s="2"/>
    </row>
    <row r="213" ht="15.75" customHeight="1">
      <c r="E213" s="2"/>
    </row>
    <row r="214" ht="15.75" customHeight="1">
      <c r="E214" s="2"/>
    </row>
    <row r="215" ht="15.75" customHeight="1">
      <c r="E215" s="2"/>
    </row>
    <row r="216" ht="15.75" customHeight="1">
      <c r="E216" s="2"/>
    </row>
    <row r="217" ht="15.75" customHeight="1">
      <c r="E217" s="2"/>
    </row>
    <row r="218" ht="15.75" customHeight="1">
      <c r="E218" s="2"/>
    </row>
    <row r="219" ht="15.75" customHeight="1">
      <c r="E219" s="2"/>
    </row>
    <row r="220" ht="15.75" customHeight="1">
      <c r="E220" s="2"/>
    </row>
    <row r="221" ht="15.75" customHeight="1">
      <c r="E221" s="2"/>
    </row>
    <row r="222" ht="15.75" customHeight="1">
      <c r="E222" s="2"/>
    </row>
    <row r="223" ht="15.75" customHeight="1">
      <c r="E223" s="2"/>
    </row>
    <row r="224" ht="15.75" customHeight="1">
      <c r="E224" s="2"/>
    </row>
    <row r="225" ht="15.75" customHeight="1">
      <c r="E225" s="2"/>
    </row>
    <row r="226" ht="15.75" customHeight="1">
      <c r="E226" s="2"/>
    </row>
    <row r="227" ht="15.75" customHeight="1">
      <c r="E227" s="2"/>
    </row>
    <row r="228" ht="15.75" customHeight="1">
      <c r="E228" s="2"/>
    </row>
    <row r="229" ht="15.75" customHeight="1">
      <c r="E229" s="2"/>
    </row>
    <row r="230" ht="15.75" customHeight="1">
      <c r="E230" s="2"/>
    </row>
    <row r="231" ht="15.75" customHeight="1">
      <c r="E231" s="2"/>
    </row>
    <row r="232" ht="15.75" customHeight="1">
      <c r="E232" s="2"/>
    </row>
    <row r="233" ht="15.75" customHeight="1">
      <c r="E233" s="2"/>
    </row>
    <row r="234" ht="15.75" customHeight="1">
      <c r="E234" s="2"/>
    </row>
    <row r="235" ht="15.75" customHeight="1">
      <c r="E235" s="2"/>
    </row>
    <row r="236" ht="15.75" customHeight="1">
      <c r="E236" s="2"/>
    </row>
    <row r="237" ht="15.75" customHeight="1">
      <c r="E237" s="2"/>
    </row>
    <row r="238" ht="15.75" customHeight="1">
      <c r="E238" s="2"/>
    </row>
    <row r="239" ht="15.75" customHeight="1">
      <c r="E239" s="2"/>
    </row>
    <row r="240" ht="15.75" customHeight="1">
      <c r="E240" s="2"/>
    </row>
    <row r="241" ht="15.75" customHeight="1">
      <c r="E241" s="2"/>
    </row>
    <row r="242" ht="15.75" customHeight="1">
      <c r="E242" s="2"/>
    </row>
    <row r="243" ht="15.75" customHeight="1">
      <c r="E243" s="2"/>
    </row>
    <row r="244" ht="15.75" customHeight="1">
      <c r="E244" s="2"/>
    </row>
    <row r="245" ht="15.75" customHeight="1">
      <c r="E245" s="2"/>
    </row>
    <row r="246" ht="15.75" customHeight="1">
      <c r="E246" s="2"/>
    </row>
    <row r="247" ht="15.75" customHeight="1">
      <c r="E247" s="2"/>
    </row>
    <row r="248" ht="15.75" customHeight="1">
      <c r="E248" s="2"/>
    </row>
    <row r="249" ht="15.75" customHeight="1">
      <c r="E249" s="2"/>
    </row>
    <row r="250" ht="15.75" customHeight="1">
      <c r="E250" s="2"/>
    </row>
    <row r="251" ht="15.75" customHeight="1">
      <c r="E251" s="2"/>
    </row>
    <row r="252" ht="15.75" customHeight="1">
      <c r="E252" s="2"/>
    </row>
    <row r="253" ht="15.75" customHeight="1">
      <c r="E253" s="2"/>
    </row>
    <row r="254" ht="15.75" customHeight="1">
      <c r="E254" s="2"/>
    </row>
    <row r="255" ht="15.75" customHeight="1">
      <c r="E255" s="2"/>
    </row>
    <row r="256" ht="15.75" customHeight="1">
      <c r="E256" s="2"/>
    </row>
    <row r="257" ht="15.75" customHeight="1">
      <c r="E257" s="2"/>
    </row>
    <row r="258" ht="15.75" customHeight="1">
      <c r="E258" s="2"/>
    </row>
    <row r="259" ht="15.75" customHeight="1">
      <c r="E259" s="2"/>
    </row>
    <row r="260" ht="15.75" customHeight="1">
      <c r="E260" s="2"/>
    </row>
    <row r="261" ht="15.75" customHeight="1">
      <c r="E261" s="2"/>
    </row>
    <row r="262" ht="15.75" customHeight="1">
      <c r="E262" s="2"/>
    </row>
    <row r="263" ht="15.75" customHeight="1">
      <c r="E263" s="2"/>
    </row>
    <row r="264" ht="15.75" customHeight="1">
      <c r="E264" s="2"/>
    </row>
    <row r="265" ht="15.75" customHeight="1">
      <c r="E265" s="2"/>
    </row>
    <row r="266" ht="15.75" customHeight="1">
      <c r="E266" s="2"/>
    </row>
    <row r="267" ht="15.75" customHeight="1">
      <c r="E267" s="2"/>
    </row>
    <row r="268" ht="15.75" customHeight="1">
      <c r="E268" s="2"/>
    </row>
    <row r="269" ht="15.75" customHeight="1">
      <c r="E269" s="2"/>
    </row>
    <row r="270" ht="15.75" customHeight="1">
      <c r="E270" s="2"/>
    </row>
    <row r="271" ht="15.75" customHeight="1">
      <c r="E271" s="2"/>
    </row>
    <row r="272" ht="15.75" customHeight="1">
      <c r="E272" s="2"/>
    </row>
    <row r="273" ht="15.75" customHeight="1">
      <c r="E273" s="2"/>
    </row>
    <row r="274" ht="15.75" customHeight="1">
      <c r="E274" s="2"/>
    </row>
    <row r="275" ht="15.75" customHeight="1">
      <c r="E275" s="2"/>
    </row>
    <row r="276" ht="15.75" customHeight="1">
      <c r="E276" s="2"/>
    </row>
    <row r="277" ht="15.75" customHeight="1">
      <c r="E277" s="2"/>
    </row>
    <row r="278" ht="15.75" customHeight="1">
      <c r="E278" s="2"/>
    </row>
    <row r="279" ht="15.75" customHeight="1">
      <c r="E279" s="2"/>
    </row>
    <row r="280" ht="15.75" customHeight="1">
      <c r="E280" s="2"/>
    </row>
    <row r="281" ht="15.75" customHeight="1">
      <c r="E281" s="2"/>
    </row>
    <row r="282" ht="15.75" customHeight="1">
      <c r="E282" s="2"/>
    </row>
    <row r="283" ht="15.75" customHeight="1">
      <c r="E283" s="2"/>
    </row>
    <row r="284" ht="15.75" customHeight="1">
      <c r="E284" s="2"/>
    </row>
    <row r="285" ht="15.75" customHeight="1">
      <c r="E285" s="2"/>
    </row>
    <row r="286" ht="15.75" customHeight="1">
      <c r="E286" s="2"/>
    </row>
    <row r="287" ht="15.75" customHeight="1">
      <c r="E287" s="2"/>
    </row>
    <row r="288" ht="15.75" customHeight="1">
      <c r="E288" s="2"/>
    </row>
    <row r="289" ht="15.75" customHeight="1">
      <c r="E289" s="2"/>
    </row>
    <row r="290" ht="15.75" customHeight="1">
      <c r="E290" s="2"/>
    </row>
    <row r="291" ht="15.75" customHeight="1">
      <c r="E291" s="2"/>
    </row>
    <row r="292" ht="15.75" customHeight="1">
      <c r="E292" s="2"/>
    </row>
    <row r="293" ht="15.75" customHeight="1">
      <c r="E293" s="2"/>
    </row>
    <row r="294" ht="15.75" customHeight="1">
      <c r="E294" s="2"/>
    </row>
    <row r="295" ht="15.75" customHeight="1">
      <c r="E295" s="2"/>
    </row>
    <row r="296" ht="15.75" customHeight="1">
      <c r="E296" s="2"/>
    </row>
    <row r="297" ht="15.75" customHeight="1">
      <c r="E297" s="2"/>
    </row>
    <row r="298" ht="15.75" customHeight="1">
      <c r="E298" s="2"/>
    </row>
    <row r="299" ht="15.75" customHeight="1">
      <c r="E299" s="2"/>
    </row>
    <row r="300" ht="15.75" customHeight="1">
      <c r="E300" s="2"/>
    </row>
    <row r="301" ht="15.75" customHeight="1">
      <c r="E301" s="2"/>
    </row>
    <row r="302" ht="15.75" customHeight="1">
      <c r="E302" s="2"/>
    </row>
    <row r="303" ht="15.75" customHeight="1">
      <c r="E303" s="2"/>
    </row>
    <row r="304" ht="15.75" customHeight="1">
      <c r="E304" s="2"/>
    </row>
    <row r="305" ht="15.75" customHeight="1">
      <c r="E305" s="2"/>
    </row>
    <row r="306" ht="15.75" customHeight="1">
      <c r="E306" s="2"/>
    </row>
    <row r="307" ht="15.75" customHeight="1">
      <c r="E307" s="2"/>
    </row>
    <row r="308" ht="15.75" customHeight="1">
      <c r="E308" s="2"/>
    </row>
    <row r="309" ht="15.75" customHeight="1">
      <c r="E309" s="2"/>
    </row>
    <row r="310" ht="15.75" customHeight="1">
      <c r="E310" s="2"/>
    </row>
    <row r="311" ht="15.75" customHeight="1">
      <c r="E311" s="2"/>
    </row>
    <row r="312" ht="15.75" customHeight="1">
      <c r="E312" s="2"/>
    </row>
    <row r="313" ht="15.75" customHeight="1">
      <c r="E313" s="2"/>
    </row>
    <row r="314" ht="15.75" customHeight="1">
      <c r="E314" s="2"/>
    </row>
    <row r="315" ht="15.75" customHeight="1">
      <c r="E315" s="2"/>
    </row>
    <row r="316" ht="15.75" customHeight="1">
      <c r="E316" s="2"/>
    </row>
    <row r="317" ht="15.75" customHeight="1">
      <c r="E317" s="2"/>
    </row>
    <row r="318" ht="15.75" customHeight="1">
      <c r="E318" s="2"/>
    </row>
    <row r="319" ht="15.75" customHeight="1">
      <c r="E319" s="2"/>
    </row>
    <row r="320" ht="15.75" customHeight="1">
      <c r="E320" s="2"/>
    </row>
    <row r="321" ht="15.75" customHeight="1">
      <c r="E321" s="2"/>
    </row>
    <row r="322" ht="15.75" customHeight="1">
      <c r="E322" s="2"/>
    </row>
    <row r="323" ht="15.75" customHeight="1">
      <c r="E323" s="2"/>
    </row>
    <row r="324" ht="15.75" customHeight="1">
      <c r="E324" s="2"/>
    </row>
    <row r="325" ht="15.75" customHeight="1">
      <c r="E325" s="2"/>
    </row>
    <row r="326" ht="15.75" customHeight="1">
      <c r="E326" s="2"/>
    </row>
    <row r="327" ht="15.75" customHeight="1">
      <c r="E327" s="2"/>
    </row>
    <row r="328" ht="15.75" customHeight="1">
      <c r="E328" s="2"/>
    </row>
    <row r="329" ht="15.75" customHeight="1">
      <c r="E329" s="2"/>
    </row>
    <row r="330" ht="15.75" customHeight="1">
      <c r="E330" s="2"/>
    </row>
    <row r="331" ht="15.75" customHeight="1">
      <c r="E331" s="2"/>
    </row>
    <row r="332" ht="15.75" customHeight="1">
      <c r="E332" s="2"/>
    </row>
    <row r="333" ht="15.75" customHeight="1">
      <c r="E333" s="2"/>
    </row>
    <row r="334" ht="15.75" customHeight="1">
      <c r="E334" s="2"/>
    </row>
    <row r="335" ht="15.75" customHeight="1">
      <c r="E335" s="2"/>
    </row>
    <row r="336" ht="15.75" customHeight="1">
      <c r="E336" s="2"/>
    </row>
    <row r="337" ht="15.75" customHeight="1">
      <c r="E337" s="2"/>
    </row>
    <row r="338" ht="15.75" customHeight="1">
      <c r="E338" s="2"/>
    </row>
    <row r="339" ht="15.75" customHeight="1">
      <c r="E339" s="2"/>
    </row>
    <row r="340" ht="15.75" customHeight="1">
      <c r="E340" s="2"/>
    </row>
    <row r="341" ht="15.75" customHeight="1">
      <c r="E341" s="2"/>
    </row>
    <row r="342" ht="15.75" customHeight="1">
      <c r="E342" s="2"/>
    </row>
    <row r="343" ht="15.75" customHeight="1">
      <c r="E343" s="2"/>
    </row>
    <row r="344" ht="15.75" customHeight="1">
      <c r="E344" s="2"/>
    </row>
    <row r="345" ht="15.75" customHeight="1">
      <c r="E345" s="2"/>
    </row>
    <row r="346" ht="15.75" customHeight="1">
      <c r="E346" s="2"/>
    </row>
    <row r="347" ht="15.75" customHeight="1">
      <c r="E347" s="2"/>
    </row>
    <row r="348" ht="15.75" customHeight="1">
      <c r="E348" s="2"/>
    </row>
    <row r="349" ht="15.75" customHeight="1">
      <c r="E349" s="2"/>
    </row>
    <row r="350" ht="15.75" customHeight="1">
      <c r="E350" s="2"/>
    </row>
    <row r="351" ht="15.75" customHeight="1">
      <c r="E351" s="2"/>
    </row>
    <row r="352" ht="15.75" customHeight="1">
      <c r="E352" s="2"/>
    </row>
    <row r="353" ht="15.75" customHeight="1">
      <c r="E353" s="2"/>
    </row>
    <row r="354" ht="15.75" customHeight="1">
      <c r="E354" s="2"/>
    </row>
    <row r="355" ht="15.75" customHeight="1">
      <c r="E355" s="2"/>
    </row>
    <row r="356" ht="15.75" customHeight="1">
      <c r="E356" s="2"/>
    </row>
    <row r="357" ht="15.75" customHeight="1">
      <c r="E357" s="2"/>
    </row>
    <row r="358" ht="15.75" customHeight="1">
      <c r="E358" s="2"/>
    </row>
    <row r="359" ht="15.75" customHeight="1">
      <c r="E359" s="2"/>
    </row>
    <row r="360" ht="15.75" customHeight="1">
      <c r="E360" s="2"/>
    </row>
    <row r="361" ht="15.75" customHeight="1">
      <c r="E361" s="2"/>
    </row>
    <row r="362" ht="15.75" customHeight="1">
      <c r="E362" s="2"/>
    </row>
    <row r="363" ht="15.75" customHeight="1">
      <c r="E363" s="2"/>
    </row>
    <row r="364" ht="15.75" customHeight="1">
      <c r="E364" s="2"/>
    </row>
    <row r="365" ht="15.75" customHeight="1">
      <c r="E365" s="2"/>
    </row>
    <row r="366" ht="15.75" customHeight="1">
      <c r="E366" s="2"/>
    </row>
    <row r="367" ht="15.75" customHeight="1">
      <c r="E367" s="2"/>
    </row>
    <row r="368" ht="15.75" customHeight="1">
      <c r="E368" s="2"/>
    </row>
    <row r="369" ht="15.75" customHeight="1">
      <c r="E369" s="2"/>
    </row>
    <row r="370" ht="15.75" customHeight="1">
      <c r="E370" s="2"/>
    </row>
    <row r="371" ht="15.75" customHeight="1">
      <c r="E371" s="2"/>
    </row>
    <row r="372" ht="15.75" customHeight="1">
      <c r="E372" s="2"/>
    </row>
    <row r="373" ht="15.75" customHeight="1">
      <c r="E373" s="2"/>
    </row>
    <row r="374" ht="15.75" customHeight="1">
      <c r="E374" s="2"/>
    </row>
    <row r="375" ht="15.75" customHeight="1">
      <c r="E375" s="2"/>
    </row>
    <row r="376" ht="15.75" customHeight="1">
      <c r="E376" s="2"/>
    </row>
    <row r="377" ht="15.75" customHeight="1">
      <c r="E377" s="2"/>
    </row>
    <row r="378" ht="15.75" customHeight="1">
      <c r="E378" s="2"/>
    </row>
    <row r="379" ht="15.75" customHeight="1">
      <c r="E379" s="2"/>
    </row>
    <row r="380" ht="15.75" customHeight="1">
      <c r="E380" s="2"/>
    </row>
    <row r="381" ht="15.75" customHeight="1">
      <c r="E381" s="2"/>
    </row>
    <row r="382" ht="15.75" customHeight="1">
      <c r="E382" s="2"/>
    </row>
    <row r="383" ht="15.75" customHeight="1">
      <c r="E383" s="2"/>
    </row>
    <row r="384" ht="15.75" customHeight="1">
      <c r="E384" s="2"/>
    </row>
    <row r="385" ht="15.75" customHeight="1">
      <c r="E385" s="2"/>
    </row>
    <row r="386" ht="15.75" customHeight="1">
      <c r="E386" s="2"/>
    </row>
    <row r="387" ht="15.75" customHeight="1">
      <c r="E387" s="2"/>
    </row>
    <row r="388" ht="15.75" customHeight="1">
      <c r="E388" s="2"/>
    </row>
    <row r="389" ht="15.75" customHeight="1">
      <c r="E389" s="2"/>
    </row>
    <row r="390" ht="15.75" customHeight="1">
      <c r="E390" s="2"/>
    </row>
    <row r="391" ht="15.75" customHeight="1">
      <c r="E391" s="2"/>
    </row>
    <row r="392" ht="15.75" customHeight="1">
      <c r="E392" s="2"/>
    </row>
    <row r="393" ht="15.75" customHeight="1">
      <c r="E393" s="2"/>
    </row>
    <row r="394" ht="15.75" customHeight="1">
      <c r="E394" s="2"/>
    </row>
    <row r="395" ht="15.75" customHeight="1">
      <c r="E395" s="2"/>
    </row>
    <row r="396" ht="15.75" customHeight="1">
      <c r="E396" s="2"/>
    </row>
    <row r="397" ht="15.75" customHeight="1">
      <c r="E397" s="2"/>
    </row>
    <row r="398" ht="15.75" customHeight="1">
      <c r="E398" s="2"/>
    </row>
    <row r="399" ht="15.75" customHeight="1">
      <c r="E399" s="2"/>
    </row>
    <row r="400" ht="15.75" customHeight="1">
      <c r="E400" s="2"/>
    </row>
    <row r="401" ht="15.75" customHeight="1">
      <c r="E401" s="2"/>
    </row>
    <row r="402" ht="15.75" customHeight="1">
      <c r="E402" s="2"/>
    </row>
    <row r="403" ht="15.75" customHeight="1">
      <c r="E403" s="2"/>
    </row>
    <row r="404" ht="15.75" customHeight="1">
      <c r="E404" s="2"/>
    </row>
    <row r="405" ht="15.75" customHeight="1">
      <c r="E405" s="2"/>
    </row>
    <row r="406" ht="15.75" customHeight="1">
      <c r="E406" s="2"/>
    </row>
    <row r="407" ht="15.75" customHeight="1">
      <c r="E407" s="2"/>
    </row>
    <row r="408" ht="15.75" customHeight="1">
      <c r="E408" s="2"/>
    </row>
    <row r="409" ht="15.75" customHeight="1">
      <c r="E409" s="2"/>
    </row>
    <row r="410" ht="15.75" customHeight="1">
      <c r="E410" s="2"/>
    </row>
    <row r="411" ht="15.75" customHeight="1">
      <c r="E411" s="2"/>
    </row>
    <row r="412" ht="15.75" customHeight="1">
      <c r="E412" s="2"/>
    </row>
    <row r="413" ht="15.75" customHeight="1">
      <c r="E413" s="2"/>
    </row>
    <row r="414" ht="15.75" customHeight="1">
      <c r="E414" s="2"/>
    </row>
    <row r="415" ht="15.75" customHeight="1">
      <c r="E415" s="2"/>
    </row>
    <row r="416" ht="15.75" customHeight="1">
      <c r="E416" s="2"/>
    </row>
    <row r="417" ht="15.75" customHeight="1">
      <c r="E417" s="2"/>
    </row>
    <row r="418" ht="15.75" customHeight="1">
      <c r="E418" s="2"/>
    </row>
    <row r="419" ht="15.75" customHeight="1">
      <c r="E419" s="2"/>
    </row>
    <row r="420" ht="15.75" customHeight="1">
      <c r="E420" s="2"/>
    </row>
    <row r="421" ht="15.75" customHeight="1">
      <c r="E421" s="2"/>
    </row>
    <row r="422" ht="15.75" customHeight="1">
      <c r="E422" s="2"/>
    </row>
    <row r="423" ht="15.75" customHeight="1">
      <c r="E423" s="2"/>
    </row>
    <row r="424" ht="15.75" customHeight="1">
      <c r="E424" s="2"/>
    </row>
    <row r="425" ht="15.75" customHeight="1">
      <c r="E425" s="2"/>
    </row>
    <row r="426" ht="15.75" customHeight="1">
      <c r="E426" s="2"/>
    </row>
    <row r="427" ht="15.75" customHeight="1">
      <c r="E427" s="2"/>
    </row>
    <row r="428" ht="15.75" customHeight="1">
      <c r="E428" s="2"/>
    </row>
    <row r="429" ht="15.75" customHeight="1">
      <c r="E429" s="2"/>
    </row>
    <row r="430" ht="15.75" customHeight="1">
      <c r="E430" s="2"/>
    </row>
    <row r="431" ht="15.75" customHeight="1">
      <c r="E431" s="2"/>
    </row>
    <row r="432" ht="15.75" customHeight="1">
      <c r="E432" s="2"/>
    </row>
    <row r="433" ht="15.75" customHeight="1">
      <c r="E433" s="2"/>
    </row>
    <row r="434" ht="15.75" customHeight="1">
      <c r="E434" s="2"/>
    </row>
    <row r="435" ht="15.75" customHeight="1">
      <c r="E435" s="2"/>
    </row>
    <row r="436" ht="15.75" customHeight="1">
      <c r="E436" s="2"/>
    </row>
    <row r="437" ht="15.75" customHeight="1">
      <c r="E437" s="2"/>
    </row>
    <row r="438" ht="15.75" customHeight="1">
      <c r="E438" s="2"/>
    </row>
    <row r="439" ht="15.75" customHeight="1">
      <c r="E439" s="2"/>
    </row>
    <row r="440" ht="15.75" customHeight="1">
      <c r="E440" s="2"/>
    </row>
    <row r="441" ht="15.75" customHeight="1">
      <c r="E441" s="2"/>
    </row>
    <row r="442" ht="15.75" customHeight="1">
      <c r="E442" s="2"/>
    </row>
    <row r="443" ht="15.75" customHeight="1">
      <c r="E443" s="2"/>
    </row>
    <row r="444" ht="15.75" customHeight="1">
      <c r="E444" s="2"/>
    </row>
    <row r="445" ht="15.75" customHeight="1">
      <c r="E445" s="2"/>
    </row>
    <row r="446" ht="15.75" customHeight="1">
      <c r="E446" s="2"/>
    </row>
    <row r="447" ht="15.75" customHeight="1">
      <c r="E447" s="2"/>
    </row>
    <row r="448" ht="15.75" customHeight="1">
      <c r="E448" s="2"/>
    </row>
    <row r="449" ht="15.75" customHeight="1">
      <c r="E449" s="2"/>
    </row>
    <row r="450" ht="15.75" customHeight="1">
      <c r="E450" s="2"/>
    </row>
    <row r="451" ht="15.75" customHeight="1">
      <c r="E451" s="2"/>
    </row>
    <row r="452" ht="15.75" customHeight="1">
      <c r="E452" s="2"/>
    </row>
    <row r="453" ht="15.75" customHeight="1">
      <c r="E453" s="2"/>
    </row>
    <row r="454" ht="15.75" customHeight="1">
      <c r="E454" s="2"/>
    </row>
    <row r="455" ht="15.75" customHeight="1">
      <c r="E455" s="2"/>
    </row>
    <row r="456" ht="15.75" customHeight="1">
      <c r="E456" s="2"/>
    </row>
    <row r="457" ht="15.75" customHeight="1">
      <c r="E457" s="2"/>
    </row>
    <row r="458" ht="15.75" customHeight="1">
      <c r="E458" s="2"/>
    </row>
    <row r="459" ht="15.75" customHeight="1">
      <c r="E459" s="2"/>
    </row>
    <row r="460" ht="15.75" customHeight="1">
      <c r="E460" s="2"/>
    </row>
    <row r="461" ht="15.75" customHeight="1">
      <c r="E461" s="2"/>
    </row>
    <row r="462" ht="15.75" customHeight="1">
      <c r="E462" s="2"/>
    </row>
    <row r="463" ht="15.75" customHeight="1">
      <c r="E463" s="2"/>
    </row>
    <row r="464" ht="15.75" customHeight="1">
      <c r="E464" s="2"/>
    </row>
    <row r="465" ht="15.75" customHeight="1">
      <c r="E465" s="2"/>
    </row>
    <row r="466" ht="15.75" customHeight="1">
      <c r="E466" s="2"/>
    </row>
    <row r="467" ht="15.75" customHeight="1">
      <c r="E467" s="2"/>
    </row>
    <row r="468" ht="15.75" customHeight="1">
      <c r="E468" s="2"/>
    </row>
    <row r="469" ht="15.75" customHeight="1">
      <c r="E469" s="2"/>
    </row>
    <row r="470" ht="15.75" customHeight="1">
      <c r="E470" s="2"/>
    </row>
    <row r="471" ht="15.75" customHeight="1">
      <c r="E471" s="2"/>
    </row>
    <row r="472" ht="15.75" customHeight="1">
      <c r="E472" s="2"/>
    </row>
    <row r="473" ht="15.75" customHeight="1">
      <c r="E473" s="2"/>
    </row>
    <row r="474" ht="15.75" customHeight="1">
      <c r="E474" s="2"/>
    </row>
    <row r="475" ht="15.75" customHeight="1">
      <c r="E475" s="2"/>
    </row>
    <row r="476" ht="15.75" customHeight="1">
      <c r="E476" s="2"/>
    </row>
    <row r="477" ht="15.75" customHeight="1">
      <c r="E477" s="2"/>
    </row>
    <row r="478" ht="15.75" customHeight="1">
      <c r="E478" s="2"/>
    </row>
    <row r="479" ht="15.75" customHeight="1">
      <c r="E479" s="2"/>
    </row>
    <row r="480" ht="15.75" customHeight="1">
      <c r="E480" s="2"/>
    </row>
    <row r="481" ht="15.75" customHeight="1">
      <c r="E481" s="2"/>
    </row>
    <row r="482" ht="15.75" customHeight="1">
      <c r="E482" s="2"/>
    </row>
    <row r="483" ht="15.75" customHeight="1">
      <c r="E483" s="2"/>
    </row>
    <row r="484" ht="15.75" customHeight="1">
      <c r="E484" s="2"/>
    </row>
    <row r="485" ht="15.75" customHeight="1">
      <c r="E485" s="2"/>
    </row>
    <row r="486" ht="15.75" customHeight="1">
      <c r="E486" s="2"/>
    </row>
    <row r="487" ht="15.75" customHeight="1">
      <c r="E487" s="2"/>
    </row>
    <row r="488" ht="15.75" customHeight="1">
      <c r="E488" s="2"/>
    </row>
    <row r="489" ht="15.75" customHeight="1">
      <c r="E489" s="2"/>
    </row>
    <row r="490" ht="15.75" customHeight="1">
      <c r="E490" s="2"/>
    </row>
    <row r="491" ht="15.75" customHeight="1">
      <c r="E491" s="2"/>
    </row>
    <row r="492" ht="15.75" customHeight="1">
      <c r="E492" s="2"/>
    </row>
    <row r="493" ht="15.75" customHeight="1">
      <c r="E493" s="2"/>
    </row>
    <row r="494" ht="15.75" customHeight="1">
      <c r="E494" s="2"/>
    </row>
    <row r="495" ht="15.75" customHeight="1">
      <c r="E495" s="2"/>
    </row>
    <row r="496" ht="15.75" customHeight="1">
      <c r="E496" s="2"/>
    </row>
    <row r="497" ht="15.75" customHeight="1">
      <c r="E497" s="2"/>
    </row>
    <row r="498" ht="15.75" customHeight="1">
      <c r="E498" s="2"/>
    </row>
    <row r="499" ht="15.75" customHeight="1">
      <c r="E499" s="2"/>
    </row>
    <row r="500" ht="15.75" customHeight="1">
      <c r="E500" s="2"/>
    </row>
    <row r="501" ht="15.75" customHeight="1">
      <c r="E501" s="2"/>
    </row>
    <row r="502" ht="15.75" customHeight="1">
      <c r="E502" s="2"/>
    </row>
    <row r="503" ht="15.75" customHeight="1">
      <c r="E503" s="2"/>
    </row>
    <row r="504" ht="15.75" customHeight="1">
      <c r="E504" s="2"/>
    </row>
    <row r="505" ht="15.75" customHeight="1">
      <c r="E505" s="2"/>
    </row>
    <row r="506" ht="15.75" customHeight="1">
      <c r="E506" s="2"/>
    </row>
    <row r="507" ht="15.75" customHeight="1">
      <c r="E507" s="2"/>
    </row>
    <row r="508" ht="15.75" customHeight="1">
      <c r="E508" s="2"/>
    </row>
    <row r="509" ht="15.75" customHeight="1">
      <c r="E509" s="2"/>
    </row>
    <row r="510" ht="15.75" customHeight="1">
      <c r="E510" s="2"/>
    </row>
    <row r="511" ht="15.75" customHeight="1">
      <c r="E511" s="2"/>
    </row>
    <row r="512" ht="15.75" customHeight="1">
      <c r="E512" s="2"/>
    </row>
    <row r="513" ht="15.75" customHeight="1">
      <c r="E513" s="2"/>
    </row>
    <row r="514" ht="15.75" customHeight="1">
      <c r="E514" s="2"/>
    </row>
    <row r="515" ht="15.75" customHeight="1">
      <c r="E515" s="2"/>
    </row>
    <row r="516" ht="15.75" customHeight="1">
      <c r="E516" s="2"/>
    </row>
    <row r="517" ht="15.75" customHeight="1">
      <c r="E517" s="2"/>
    </row>
    <row r="518" ht="15.75" customHeight="1">
      <c r="E518" s="2"/>
    </row>
    <row r="519" ht="15.75" customHeight="1">
      <c r="E519" s="2"/>
    </row>
    <row r="520" ht="15.75" customHeight="1">
      <c r="E520" s="2"/>
    </row>
    <row r="521" ht="15.75" customHeight="1">
      <c r="E521" s="2"/>
    </row>
    <row r="522" ht="15.75" customHeight="1">
      <c r="E522" s="2"/>
    </row>
    <row r="523" ht="15.75" customHeight="1">
      <c r="E523" s="2"/>
    </row>
    <row r="524" ht="15.75" customHeight="1">
      <c r="E524" s="2"/>
    </row>
    <row r="525" ht="15.75" customHeight="1">
      <c r="E525" s="2"/>
    </row>
    <row r="526" ht="15.75" customHeight="1">
      <c r="E526" s="2"/>
    </row>
    <row r="527" ht="15.75" customHeight="1">
      <c r="E527" s="2"/>
    </row>
    <row r="528" ht="15.75" customHeight="1">
      <c r="E528" s="2"/>
    </row>
    <row r="529" ht="15.75" customHeight="1">
      <c r="E529" s="2"/>
    </row>
    <row r="530" ht="15.75" customHeight="1">
      <c r="E530" s="2"/>
    </row>
    <row r="531" ht="15.75" customHeight="1">
      <c r="E531" s="2"/>
    </row>
    <row r="532" ht="15.75" customHeight="1">
      <c r="E532" s="2"/>
    </row>
    <row r="533" ht="15.75" customHeight="1">
      <c r="E533" s="2"/>
    </row>
    <row r="534" ht="15.75" customHeight="1">
      <c r="E534" s="2"/>
    </row>
    <row r="535" ht="15.75" customHeight="1">
      <c r="E535" s="2"/>
    </row>
    <row r="536" ht="15.75" customHeight="1">
      <c r="E536" s="2"/>
    </row>
    <row r="537" ht="15.75" customHeight="1">
      <c r="E537" s="2"/>
    </row>
    <row r="538" ht="15.75" customHeight="1">
      <c r="E538" s="2"/>
    </row>
    <row r="539" ht="15.75" customHeight="1">
      <c r="E539" s="2"/>
    </row>
    <row r="540" ht="15.75" customHeight="1">
      <c r="E540" s="2"/>
    </row>
    <row r="541" ht="15.75" customHeight="1">
      <c r="E541" s="2"/>
    </row>
    <row r="542" ht="15.75" customHeight="1">
      <c r="E542" s="2"/>
    </row>
    <row r="543" ht="15.75" customHeight="1">
      <c r="E543" s="2"/>
    </row>
    <row r="544" ht="15.75" customHeight="1">
      <c r="E544" s="2"/>
    </row>
    <row r="545" ht="15.75" customHeight="1">
      <c r="E545" s="2"/>
    </row>
    <row r="546" ht="15.75" customHeight="1">
      <c r="E546" s="2"/>
    </row>
    <row r="547" ht="15.75" customHeight="1">
      <c r="E547" s="2"/>
    </row>
    <row r="548" ht="15.75" customHeight="1">
      <c r="E548" s="2"/>
    </row>
    <row r="549" ht="15.75" customHeight="1">
      <c r="E549" s="2"/>
    </row>
    <row r="550" ht="15.75" customHeight="1">
      <c r="E550" s="2"/>
    </row>
    <row r="551" ht="15.75" customHeight="1">
      <c r="E551" s="2"/>
    </row>
    <row r="552" ht="15.75" customHeight="1">
      <c r="E552" s="2"/>
    </row>
    <row r="553" ht="15.75" customHeight="1">
      <c r="E553" s="2"/>
    </row>
    <row r="554" ht="15.75" customHeight="1">
      <c r="E554" s="2"/>
    </row>
    <row r="555" ht="15.75" customHeight="1">
      <c r="E555" s="2"/>
    </row>
    <row r="556" ht="15.75" customHeight="1">
      <c r="E556" s="2"/>
    </row>
    <row r="557" ht="15.75" customHeight="1">
      <c r="E557" s="2"/>
    </row>
    <row r="558" ht="15.75" customHeight="1">
      <c r="E558" s="2"/>
    </row>
    <row r="559" ht="15.75" customHeight="1">
      <c r="E559" s="2"/>
    </row>
    <row r="560" ht="15.75" customHeight="1">
      <c r="E560" s="2"/>
    </row>
    <row r="561" ht="15.75" customHeight="1">
      <c r="E561" s="2"/>
    </row>
    <row r="562" ht="15.75" customHeight="1">
      <c r="E562" s="2"/>
    </row>
    <row r="563" ht="15.75" customHeight="1">
      <c r="E563" s="2"/>
    </row>
    <row r="564" ht="15.75" customHeight="1">
      <c r="E564" s="2"/>
    </row>
    <row r="565" ht="15.75" customHeight="1">
      <c r="E565" s="2"/>
    </row>
    <row r="566" ht="15.75" customHeight="1">
      <c r="E566" s="2"/>
    </row>
    <row r="567" ht="15.75" customHeight="1">
      <c r="E567" s="2"/>
    </row>
    <row r="568" ht="15.75" customHeight="1">
      <c r="E568" s="2"/>
    </row>
    <row r="569" ht="15.75" customHeight="1">
      <c r="E569" s="2"/>
    </row>
    <row r="570" ht="15.75" customHeight="1">
      <c r="E570" s="2"/>
    </row>
    <row r="571" ht="15.75" customHeight="1">
      <c r="E571" s="2"/>
    </row>
    <row r="572" ht="15.75" customHeight="1">
      <c r="E572" s="2"/>
    </row>
    <row r="573" ht="15.75" customHeight="1">
      <c r="E573" s="2"/>
    </row>
    <row r="574" ht="15.75" customHeight="1">
      <c r="E574" s="2"/>
    </row>
    <row r="575" ht="15.75" customHeight="1">
      <c r="E575" s="2"/>
    </row>
    <row r="576" ht="15.75" customHeight="1">
      <c r="E576" s="2"/>
    </row>
    <row r="577" ht="15.75" customHeight="1">
      <c r="E577" s="2"/>
    </row>
    <row r="578" ht="15.75" customHeight="1">
      <c r="E578" s="2"/>
    </row>
    <row r="579" ht="15.75" customHeight="1">
      <c r="E579" s="2"/>
    </row>
    <row r="580" ht="15.75" customHeight="1">
      <c r="E580" s="2"/>
    </row>
    <row r="581" ht="15.75" customHeight="1">
      <c r="E581" s="2"/>
    </row>
    <row r="582" ht="15.75" customHeight="1">
      <c r="E582" s="2"/>
    </row>
    <row r="583" ht="15.75" customHeight="1">
      <c r="E583" s="2"/>
    </row>
    <row r="584" ht="15.75" customHeight="1">
      <c r="E584" s="2"/>
    </row>
    <row r="585" ht="15.75" customHeight="1">
      <c r="E585" s="2"/>
    </row>
    <row r="586" ht="15.75" customHeight="1">
      <c r="E586" s="2"/>
    </row>
    <row r="587" ht="15.75" customHeight="1">
      <c r="E587" s="2"/>
    </row>
    <row r="588" ht="15.75" customHeight="1">
      <c r="E588" s="2"/>
    </row>
    <row r="589" ht="15.75" customHeight="1">
      <c r="E589" s="2"/>
    </row>
    <row r="590" ht="15.75" customHeight="1">
      <c r="E590" s="2"/>
    </row>
    <row r="591" ht="15.75" customHeight="1">
      <c r="E591" s="2"/>
    </row>
    <row r="592" ht="15.75" customHeight="1">
      <c r="E592" s="2"/>
    </row>
    <row r="593" ht="15.75" customHeight="1">
      <c r="E593" s="2"/>
    </row>
    <row r="594" ht="15.75" customHeight="1">
      <c r="E594" s="2"/>
    </row>
    <row r="595" ht="15.75" customHeight="1">
      <c r="E595" s="2"/>
    </row>
    <row r="596" ht="15.75" customHeight="1">
      <c r="E596" s="2"/>
    </row>
    <row r="597" ht="15.75" customHeight="1">
      <c r="E597" s="2"/>
    </row>
    <row r="598" ht="15.75" customHeight="1">
      <c r="E598" s="2"/>
    </row>
    <row r="599" ht="15.75" customHeight="1">
      <c r="E599" s="2"/>
    </row>
    <row r="600" ht="15.75" customHeight="1">
      <c r="E600" s="2"/>
    </row>
    <row r="601" ht="15.75" customHeight="1">
      <c r="E601" s="2"/>
    </row>
    <row r="602" ht="15.75" customHeight="1">
      <c r="E602" s="2"/>
    </row>
    <row r="603" ht="15.75" customHeight="1">
      <c r="E603" s="2"/>
    </row>
    <row r="604" ht="15.75" customHeight="1">
      <c r="E604" s="2"/>
    </row>
    <row r="605" ht="15.75" customHeight="1">
      <c r="E605" s="2"/>
    </row>
    <row r="606" ht="15.75" customHeight="1">
      <c r="E606" s="2"/>
    </row>
    <row r="607" ht="15.75" customHeight="1">
      <c r="E607" s="2"/>
    </row>
    <row r="608" ht="15.75" customHeight="1">
      <c r="E608" s="2"/>
    </row>
    <row r="609" ht="15.75" customHeight="1">
      <c r="E609" s="2"/>
    </row>
    <row r="610" ht="15.75" customHeight="1">
      <c r="E610" s="2"/>
    </row>
    <row r="611" ht="15.75" customHeight="1">
      <c r="E611" s="2"/>
    </row>
    <row r="612" ht="15.75" customHeight="1">
      <c r="E612" s="2"/>
    </row>
    <row r="613" ht="15.75" customHeight="1">
      <c r="E613" s="2"/>
    </row>
    <row r="614" ht="15.75" customHeight="1">
      <c r="E614" s="2"/>
    </row>
    <row r="615" ht="15.75" customHeight="1">
      <c r="E615" s="2"/>
    </row>
    <row r="616" ht="15.75" customHeight="1">
      <c r="E616" s="2"/>
    </row>
    <row r="617" ht="15.75" customHeight="1">
      <c r="E617" s="2"/>
    </row>
    <row r="618" ht="15.75" customHeight="1">
      <c r="E618" s="2"/>
    </row>
    <row r="619" ht="15.75" customHeight="1">
      <c r="E619" s="2"/>
    </row>
    <row r="620" ht="15.75" customHeight="1">
      <c r="E620" s="2"/>
    </row>
    <row r="621" ht="15.75" customHeight="1">
      <c r="E621" s="2"/>
    </row>
    <row r="622" ht="15.75" customHeight="1">
      <c r="E622" s="2"/>
    </row>
    <row r="623" ht="15.75" customHeight="1">
      <c r="E623" s="2"/>
    </row>
    <row r="624" ht="15.75" customHeight="1">
      <c r="E624" s="2"/>
    </row>
    <row r="625" ht="15.75" customHeight="1">
      <c r="E625" s="2"/>
    </row>
    <row r="626" ht="15.75" customHeight="1">
      <c r="E626" s="2"/>
    </row>
    <row r="627" ht="15.75" customHeight="1">
      <c r="E627" s="2"/>
    </row>
    <row r="628" ht="15.75" customHeight="1">
      <c r="E628" s="2"/>
    </row>
    <row r="629" ht="15.75" customHeight="1">
      <c r="E629" s="2"/>
    </row>
    <row r="630" ht="15.75" customHeight="1">
      <c r="E630" s="2"/>
    </row>
    <row r="631" ht="15.75" customHeight="1">
      <c r="E631" s="2"/>
    </row>
    <row r="632" ht="15.75" customHeight="1">
      <c r="E632" s="2"/>
    </row>
    <row r="633" ht="15.75" customHeight="1">
      <c r="E633" s="2"/>
    </row>
    <row r="634" ht="15.75" customHeight="1">
      <c r="E634" s="2"/>
    </row>
    <row r="635" ht="15.75" customHeight="1">
      <c r="E635" s="2"/>
    </row>
    <row r="636" ht="15.75" customHeight="1">
      <c r="E636" s="2"/>
    </row>
    <row r="637" ht="15.75" customHeight="1">
      <c r="E637" s="2"/>
    </row>
    <row r="638" ht="15.75" customHeight="1">
      <c r="E638" s="2"/>
    </row>
    <row r="639" ht="15.75" customHeight="1">
      <c r="E639" s="2"/>
    </row>
    <row r="640" ht="15.75" customHeight="1">
      <c r="E640" s="2"/>
    </row>
    <row r="641" ht="15.75" customHeight="1">
      <c r="E641" s="2"/>
    </row>
    <row r="642" ht="15.75" customHeight="1">
      <c r="E642" s="2"/>
    </row>
    <row r="643" ht="15.75" customHeight="1">
      <c r="E643" s="2"/>
    </row>
    <row r="644" ht="15.75" customHeight="1">
      <c r="E644" s="2"/>
    </row>
    <row r="645" ht="15.75" customHeight="1">
      <c r="E645" s="2"/>
    </row>
    <row r="646" ht="15.75" customHeight="1">
      <c r="E646" s="2"/>
    </row>
    <row r="647" ht="15.75" customHeight="1">
      <c r="E647" s="2"/>
    </row>
    <row r="648" ht="15.75" customHeight="1">
      <c r="E648" s="2"/>
    </row>
    <row r="649" ht="15.75" customHeight="1">
      <c r="E649" s="2"/>
    </row>
    <row r="650" ht="15.75" customHeight="1">
      <c r="E650" s="2"/>
    </row>
    <row r="651" ht="15.75" customHeight="1">
      <c r="E651" s="2"/>
    </row>
    <row r="652" ht="15.75" customHeight="1">
      <c r="E652" s="2"/>
    </row>
    <row r="653" ht="15.75" customHeight="1">
      <c r="E653" s="2"/>
    </row>
    <row r="654" ht="15.75" customHeight="1">
      <c r="E654" s="2"/>
    </row>
    <row r="655" ht="15.75" customHeight="1">
      <c r="E655" s="2"/>
    </row>
    <row r="656" ht="15.75" customHeight="1">
      <c r="E656" s="2"/>
    </row>
    <row r="657" ht="15.75" customHeight="1">
      <c r="E657" s="2"/>
    </row>
    <row r="658" ht="15.75" customHeight="1">
      <c r="E658" s="2"/>
    </row>
    <row r="659" ht="15.75" customHeight="1">
      <c r="E659" s="2"/>
    </row>
    <row r="660" ht="15.75" customHeight="1">
      <c r="E660" s="2"/>
    </row>
    <row r="661" ht="15.75" customHeight="1">
      <c r="E661" s="2"/>
    </row>
    <row r="662" ht="15.75" customHeight="1">
      <c r="E662" s="2"/>
    </row>
    <row r="663" ht="15.75" customHeight="1">
      <c r="E663" s="2"/>
    </row>
    <row r="664" ht="15.75" customHeight="1">
      <c r="E664" s="2"/>
    </row>
    <row r="665" ht="15.75" customHeight="1">
      <c r="E665" s="2"/>
    </row>
    <row r="666" ht="15.75" customHeight="1">
      <c r="E666" s="2"/>
    </row>
    <row r="667" ht="15.75" customHeight="1">
      <c r="E667" s="2"/>
    </row>
    <row r="668" ht="15.75" customHeight="1">
      <c r="E668" s="2"/>
    </row>
    <row r="669" ht="15.75" customHeight="1">
      <c r="E669" s="2"/>
    </row>
    <row r="670" ht="15.75" customHeight="1">
      <c r="E670" s="2"/>
    </row>
    <row r="671" ht="15.75" customHeight="1">
      <c r="E671" s="2"/>
    </row>
    <row r="672" ht="15.75" customHeight="1">
      <c r="E672" s="2"/>
    </row>
    <row r="673" ht="15.75" customHeight="1">
      <c r="E673" s="2"/>
    </row>
    <row r="674" ht="15.75" customHeight="1">
      <c r="E674" s="2"/>
    </row>
    <row r="675" ht="15.75" customHeight="1">
      <c r="E675" s="2"/>
    </row>
    <row r="676" ht="15.75" customHeight="1">
      <c r="E676" s="2"/>
    </row>
    <row r="677" ht="15.75" customHeight="1">
      <c r="E677" s="2"/>
    </row>
    <row r="678" ht="15.75" customHeight="1">
      <c r="E678" s="2"/>
    </row>
    <row r="679" ht="15.75" customHeight="1">
      <c r="E679" s="2"/>
    </row>
    <row r="680" ht="15.75" customHeight="1">
      <c r="E680" s="2"/>
    </row>
    <row r="681" ht="15.75" customHeight="1">
      <c r="E681" s="2"/>
    </row>
    <row r="682" ht="15.75" customHeight="1">
      <c r="E682" s="2"/>
    </row>
    <row r="683" ht="15.75" customHeight="1">
      <c r="E683" s="2"/>
    </row>
    <row r="684" ht="15.75" customHeight="1">
      <c r="E684" s="2"/>
    </row>
    <row r="685" ht="15.75" customHeight="1">
      <c r="E685" s="2"/>
    </row>
    <row r="686" ht="15.75" customHeight="1">
      <c r="E686" s="2"/>
    </row>
    <row r="687" ht="15.75" customHeight="1">
      <c r="E687" s="2"/>
    </row>
    <row r="688" ht="15.75" customHeight="1">
      <c r="E688" s="2"/>
    </row>
    <row r="689" ht="15.75" customHeight="1">
      <c r="E689" s="2"/>
    </row>
    <row r="690" ht="15.75" customHeight="1">
      <c r="E690" s="2"/>
    </row>
    <row r="691" ht="15.75" customHeight="1">
      <c r="E691" s="2"/>
    </row>
    <row r="692" ht="15.75" customHeight="1">
      <c r="E692" s="2"/>
    </row>
    <row r="693" ht="15.75" customHeight="1">
      <c r="E693" s="2"/>
    </row>
    <row r="694" ht="15.75" customHeight="1">
      <c r="E694" s="2"/>
    </row>
    <row r="695" ht="15.75" customHeight="1">
      <c r="E695" s="2"/>
    </row>
    <row r="696" ht="15.75" customHeight="1">
      <c r="E696" s="2"/>
    </row>
    <row r="697" ht="15.75" customHeight="1">
      <c r="E697" s="2"/>
    </row>
    <row r="698" ht="15.75" customHeight="1">
      <c r="E698" s="2"/>
    </row>
    <row r="699" ht="15.75" customHeight="1">
      <c r="E699" s="2"/>
    </row>
    <row r="700" ht="15.75" customHeight="1">
      <c r="E700" s="2"/>
    </row>
    <row r="701" ht="15.75" customHeight="1">
      <c r="E701" s="2"/>
    </row>
    <row r="702" ht="15.75" customHeight="1">
      <c r="E702" s="2"/>
    </row>
    <row r="703" ht="15.75" customHeight="1">
      <c r="E703" s="2"/>
    </row>
    <row r="704" ht="15.75" customHeight="1">
      <c r="E704" s="2"/>
    </row>
    <row r="705" ht="15.75" customHeight="1">
      <c r="E705" s="2"/>
    </row>
    <row r="706" ht="15.75" customHeight="1">
      <c r="E706" s="2"/>
    </row>
    <row r="707" ht="15.75" customHeight="1">
      <c r="E707" s="2"/>
    </row>
    <row r="708" ht="15.75" customHeight="1">
      <c r="E708" s="2"/>
    </row>
    <row r="709" ht="15.75" customHeight="1">
      <c r="E709" s="2"/>
    </row>
    <row r="710" ht="15.75" customHeight="1">
      <c r="E710" s="2"/>
    </row>
    <row r="711" ht="15.75" customHeight="1">
      <c r="E711" s="2"/>
    </row>
    <row r="712" ht="15.75" customHeight="1">
      <c r="E712" s="2"/>
    </row>
    <row r="713" ht="15.75" customHeight="1">
      <c r="E713" s="2"/>
    </row>
    <row r="714" ht="15.75" customHeight="1">
      <c r="E714" s="2"/>
    </row>
    <row r="715" ht="15.75" customHeight="1">
      <c r="E715" s="2"/>
    </row>
    <row r="716" ht="15.75" customHeight="1">
      <c r="E716" s="2"/>
    </row>
    <row r="717" ht="15.75" customHeight="1">
      <c r="E717" s="2"/>
    </row>
    <row r="718" ht="15.75" customHeight="1">
      <c r="E718" s="2"/>
    </row>
    <row r="719" ht="15.75" customHeight="1">
      <c r="E719" s="2"/>
    </row>
    <row r="720" ht="15.75" customHeight="1">
      <c r="E720" s="2"/>
    </row>
    <row r="721" ht="15.75" customHeight="1">
      <c r="E721" s="2"/>
    </row>
    <row r="722" ht="15.75" customHeight="1">
      <c r="E722" s="2"/>
    </row>
    <row r="723" ht="15.75" customHeight="1">
      <c r="E723" s="2"/>
    </row>
    <row r="724" ht="15.75" customHeight="1">
      <c r="E724" s="2"/>
    </row>
    <row r="725" ht="15.75" customHeight="1">
      <c r="E725" s="2"/>
    </row>
    <row r="726" ht="15.75" customHeight="1">
      <c r="E726" s="2"/>
    </row>
    <row r="727" ht="15.75" customHeight="1">
      <c r="E727" s="2"/>
    </row>
    <row r="728" ht="15.75" customHeight="1">
      <c r="E728" s="2"/>
    </row>
    <row r="729" ht="15.75" customHeight="1">
      <c r="E729" s="2"/>
    </row>
    <row r="730" ht="15.75" customHeight="1">
      <c r="E730" s="2"/>
    </row>
    <row r="731" ht="15.75" customHeight="1">
      <c r="E731" s="2"/>
    </row>
    <row r="732" ht="15.75" customHeight="1">
      <c r="E732" s="2"/>
    </row>
    <row r="733" ht="15.75" customHeight="1">
      <c r="E733" s="2"/>
    </row>
    <row r="734" ht="15.75" customHeight="1">
      <c r="E734" s="2"/>
    </row>
    <row r="735" ht="15.75" customHeight="1">
      <c r="E735" s="2"/>
    </row>
    <row r="736" ht="15.75" customHeight="1">
      <c r="E736" s="2"/>
    </row>
    <row r="737" ht="15.75" customHeight="1">
      <c r="E737" s="2"/>
    </row>
    <row r="738" ht="15.75" customHeight="1">
      <c r="E738" s="2"/>
    </row>
    <row r="739" ht="15.75" customHeight="1">
      <c r="E739" s="2"/>
    </row>
    <row r="740" ht="15.75" customHeight="1">
      <c r="E740" s="2"/>
    </row>
    <row r="741" ht="15.75" customHeight="1">
      <c r="E741" s="2"/>
    </row>
    <row r="742" ht="15.75" customHeight="1">
      <c r="E742" s="2"/>
    </row>
    <row r="743" ht="15.75" customHeight="1">
      <c r="E743" s="2"/>
    </row>
    <row r="744" ht="15.75" customHeight="1">
      <c r="E744" s="2"/>
    </row>
    <row r="745" ht="15.75" customHeight="1">
      <c r="E745" s="2"/>
    </row>
    <row r="746" ht="15.75" customHeight="1">
      <c r="E746" s="2"/>
    </row>
    <row r="747" ht="15.75" customHeight="1">
      <c r="E747" s="2"/>
    </row>
    <row r="748" ht="15.75" customHeight="1">
      <c r="E748" s="2"/>
    </row>
    <row r="749" ht="15.75" customHeight="1">
      <c r="E749" s="2"/>
    </row>
    <row r="750" ht="15.75" customHeight="1">
      <c r="E750" s="2"/>
    </row>
    <row r="751" ht="15.75" customHeight="1">
      <c r="E751" s="2"/>
    </row>
    <row r="752" ht="15.75" customHeight="1">
      <c r="E752" s="2"/>
    </row>
    <row r="753" ht="15.75" customHeight="1">
      <c r="E753" s="2"/>
    </row>
    <row r="754" ht="15.75" customHeight="1">
      <c r="E754" s="2"/>
    </row>
    <row r="755" ht="15.75" customHeight="1">
      <c r="E755" s="2"/>
    </row>
    <row r="756" ht="15.75" customHeight="1">
      <c r="E756" s="2"/>
    </row>
    <row r="757" ht="15.75" customHeight="1">
      <c r="E757" s="2"/>
    </row>
    <row r="758" ht="15.75" customHeight="1">
      <c r="E758" s="2"/>
    </row>
    <row r="759" ht="15.75" customHeight="1">
      <c r="E759" s="2"/>
    </row>
    <row r="760" ht="15.75" customHeight="1">
      <c r="E760" s="2"/>
    </row>
    <row r="761" ht="15.75" customHeight="1">
      <c r="E761" s="2"/>
    </row>
    <row r="762" ht="15.75" customHeight="1">
      <c r="E762" s="2"/>
    </row>
    <row r="763" ht="15.75" customHeight="1">
      <c r="E763" s="2"/>
    </row>
    <row r="764" ht="15.75" customHeight="1">
      <c r="E764" s="2"/>
    </row>
    <row r="765" ht="15.75" customHeight="1">
      <c r="E765" s="2"/>
    </row>
    <row r="766" ht="15.75" customHeight="1">
      <c r="E766" s="2"/>
    </row>
    <row r="767" ht="15.75" customHeight="1">
      <c r="E767" s="2"/>
    </row>
    <row r="768" ht="15.75" customHeight="1">
      <c r="E768" s="2"/>
    </row>
    <row r="769" ht="15.75" customHeight="1">
      <c r="E769" s="2"/>
    </row>
    <row r="770" ht="15.75" customHeight="1">
      <c r="E770" s="2"/>
    </row>
    <row r="771" ht="15.75" customHeight="1">
      <c r="E771" s="2"/>
    </row>
    <row r="772" ht="15.75" customHeight="1">
      <c r="E772" s="2"/>
    </row>
    <row r="773" ht="15.75" customHeight="1">
      <c r="E773" s="2"/>
    </row>
    <row r="774" ht="15.75" customHeight="1">
      <c r="E774" s="2"/>
    </row>
    <row r="775" ht="15.75" customHeight="1">
      <c r="E775" s="2"/>
    </row>
    <row r="776" ht="15.75" customHeight="1">
      <c r="E776" s="2"/>
    </row>
    <row r="777" ht="15.75" customHeight="1">
      <c r="E777" s="2"/>
    </row>
    <row r="778" ht="15.75" customHeight="1">
      <c r="E778" s="2"/>
    </row>
    <row r="779" ht="15.75" customHeight="1">
      <c r="E779" s="2"/>
    </row>
    <row r="780" ht="15.75" customHeight="1">
      <c r="E780" s="2"/>
    </row>
    <row r="781" ht="15.75" customHeight="1">
      <c r="E781" s="2"/>
    </row>
    <row r="782" ht="15.75" customHeight="1">
      <c r="E782" s="2"/>
    </row>
    <row r="783" ht="15.75" customHeight="1">
      <c r="E783" s="2"/>
    </row>
    <row r="784" ht="15.75" customHeight="1">
      <c r="E784" s="2"/>
    </row>
    <row r="785" ht="15.75" customHeight="1">
      <c r="E785" s="2"/>
    </row>
    <row r="786" ht="15.75" customHeight="1">
      <c r="E786" s="2"/>
    </row>
    <row r="787" ht="15.75" customHeight="1">
      <c r="E787" s="2"/>
    </row>
    <row r="788" ht="15.75" customHeight="1">
      <c r="E788" s="2"/>
    </row>
    <row r="789" ht="15.75" customHeight="1">
      <c r="E789" s="2"/>
    </row>
    <row r="790" ht="15.75" customHeight="1">
      <c r="E790" s="2"/>
    </row>
    <row r="791" ht="15.75" customHeight="1">
      <c r="E791" s="2"/>
    </row>
    <row r="792" ht="15.75" customHeight="1">
      <c r="E792" s="2"/>
    </row>
    <row r="793" ht="15.75" customHeight="1">
      <c r="E793" s="2"/>
    </row>
    <row r="794" ht="15.75" customHeight="1">
      <c r="E794" s="2"/>
    </row>
    <row r="795" ht="15.75" customHeight="1">
      <c r="E795" s="2"/>
    </row>
    <row r="796" ht="15.75" customHeight="1">
      <c r="E796" s="2"/>
    </row>
    <row r="797" ht="15.75" customHeight="1">
      <c r="E797" s="2"/>
    </row>
    <row r="798" ht="15.75" customHeight="1">
      <c r="E798" s="2"/>
    </row>
    <row r="799" ht="15.75" customHeight="1">
      <c r="E799" s="2"/>
    </row>
    <row r="800" ht="15.75" customHeight="1">
      <c r="E800" s="2"/>
    </row>
    <row r="801" ht="15.75" customHeight="1">
      <c r="E801" s="2"/>
    </row>
    <row r="802" ht="15.75" customHeight="1">
      <c r="E802" s="2"/>
    </row>
    <row r="803" ht="15.75" customHeight="1">
      <c r="E803" s="2"/>
    </row>
    <row r="804" ht="15.75" customHeight="1">
      <c r="E804" s="2"/>
    </row>
    <row r="805" ht="15.75" customHeight="1">
      <c r="E805" s="2"/>
    </row>
    <row r="806" ht="15.75" customHeight="1">
      <c r="E806" s="2"/>
    </row>
    <row r="807" ht="15.75" customHeight="1">
      <c r="E807" s="2"/>
    </row>
    <row r="808" ht="15.75" customHeight="1">
      <c r="E808" s="2"/>
    </row>
    <row r="809" ht="15.75" customHeight="1">
      <c r="E809" s="2"/>
    </row>
    <row r="810" ht="15.75" customHeight="1">
      <c r="E810" s="2"/>
    </row>
    <row r="811" ht="15.75" customHeight="1">
      <c r="E811" s="2"/>
    </row>
    <row r="812" ht="15.75" customHeight="1">
      <c r="E812" s="2"/>
    </row>
    <row r="813" ht="15.75" customHeight="1">
      <c r="E813" s="2"/>
    </row>
    <row r="814" ht="15.75" customHeight="1">
      <c r="E814" s="2"/>
    </row>
    <row r="815" ht="15.75" customHeight="1">
      <c r="E815" s="2"/>
    </row>
    <row r="816" ht="15.75" customHeight="1">
      <c r="E816" s="2"/>
    </row>
    <row r="817" ht="15.75" customHeight="1">
      <c r="E817" s="2"/>
    </row>
    <row r="818" ht="15.75" customHeight="1">
      <c r="E818" s="2"/>
    </row>
    <row r="819" ht="15.75" customHeight="1">
      <c r="E819" s="2"/>
    </row>
    <row r="820" ht="15.75" customHeight="1">
      <c r="E820" s="2"/>
    </row>
    <row r="821" ht="15.75" customHeight="1">
      <c r="E821" s="2"/>
    </row>
    <row r="822" ht="15.75" customHeight="1">
      <c r="E822" s="2"/>
    </row>
    <row r="823" ht="15.75" customHeight="1">
      <c r="E823" s="2"/>
    </row>
    <row r="824" ht="15.75" customHeight="1">
      <c r="E824" s="2"/>
    </row>
    <row r="825" ht="15.75" customHeight="1">
      <c r="E825" s="2"/>
    </row>
    <row r="826" ht="15.75" customHeight="1">
      <c r="E826" s="2"/>
    </row>
    <row r="827" ht="15.75" customHeight="1">
      <c r="E827" s="2"/>
    </row>
    <row r="828" ht="15.75" customHeight="1">
      <c r="E828" s="2"/>
    </row>
    <row r="829" ht="15.75" customHeight="1">
      <c r="E829" s="2"/>
    </row>
    <row r="830" ht="15.75" customHeight="1">
      <c r="E830" s="2"/>
    </row>
    <row r="831" ht="15.75" customHeight="1">
      <c r="E831" s="2"/>
    </row>
    <row r="832" ht="15.75" customHeight="1">
      <c r="E832" s="2"/>
    </row>
    <row r="833" ht="15.75" customHeight="1">
      <c r="E833" s="2"/>
    </row>
    <row r="834" ht="15.75" customHeight="1">
      <c r="E834" s="2"/>
    </row>
    <row r="835" ht="15.75" customHeight="1">
      <c r="E835" s="2"/>
    </row>
    <row r="836" ht="15.75" customHeight="1">
      <c r="E836" s="2"/>
    </row>
    <row r="837" ht="15.75" customHeight="1">
      <c r="E837" s="2"/>
    </row>
    <row r="838" ht="15.75" customHeight="1">
      <c r="E838" s="2"/>
    </row>
    <row r="839" ht="15.75" customHeight="1">
      <c r="E839" s="2"/>
    </row>
    <row r="840" ht="15.75" customHeight="1">
      <c r="E840" s="2"/>
    </row>
    <row r="841" ht="15.75" customHeight="1">
      <c r="E841" s="2"/>
    </row>
    <row r="842" ht="15.75" customHeight="1">
      <c r="E842" s="2"/>
    </row>
    <row r="843" ht="15.75" customHeight="1">
      <c r="E843" s="2"/>
    </row>
    <row r="844" ht="15.75" customHeight="1">
      <c r="E844" s="2"/>
    </row>
    <row r="845" ht="15.75" customHeight="1">
      <c r="E845" s="2"/>
    </row>
    <row r="846" ht="15.75" customHeight="1">
      <c r="E846" s="2"/>
    </row>
    <row r="847" ht="15.75" customHeight="1">
      <c r="E847" s="2"/>
    </row>
    <row r="848" ht="15.75" customHeight="1">
      <c r="E848" s="2"/>
    </row>
    <row r="849" ht="15.75" customHeight="1">
      <c r="E849" s="2"/>
    </row>
    <row r="850" ht="15.75" customHeight="1">
      <c r="E850" s="2"/>
    </row>
    <row r="851" ht="15.75" customHeight="1">
      <c r="E851" s="2"/>
    </row>
    <row r="852" ht="15.75" customHeight="1">
      <c r="E852" s="2"/>
    </row>
    <row r="853" ht="15.75" customHeight="1">
      <c r="E853" s="2"/>
    </row>
    <row r="854" ht="15.75" customHeight="1">
      <c r="E854" s="2"/>
    </row>
    <row r="855" ht="15.75" customHeight="1">
      <c r="E855" s="2"/>
    </row>
    <row r="856" ht="15.75" customHeight="1">
      <c r="E856" s="2"/>
    </row>
    <row r="857" ht="15.75" customHeight="1">
      <c r="E857" s="2"/>
    </row>
    <row r="858" ht="15.75" customHeight="1">
      <c r="E858" s="2"/>
    </row>
    <row r="859" ht="15.75" customHeight="1">
      <c r="E859" s="2"/>
    </row>
    <row r="860" ht="15.75" customHeight="1">
      <c r="E860" s="2"/>
    </row>
    <row r="861" ht="15.75" customHeight="1">
      <c r="E861" s="2"/>
    </row>
    <row r="862" ht="15.75" customHeight="1">
      <c r="E862" s="2"/>
    </row>
    <row r="863" ht="15.75" customHeight="1">
      <c r="E863" s="2"/>
    </row>
    <row r="864" ht="15.75" customHeight="1">
      <c r="E864" s="2"/>
    </row>
    <row r="865" ht="15.75" customHeight="1">
      <c r="E865" s="2"/>
    </row>
    <row r="866" ht="15.75" customHeight="1">
      <c r="E866" s="2"/>
    </row>
    <row r="867" ht="15.75" customHeight="1">
      <c r="E867" s="2"/>
    </row>
    <row r="868" ht="15.75" customHeight="1">
      <c r="E868" s="2"/>
    </row>
    <row r="869" ht="15.75" customHeight="1">
      <c r="E869" s="2"/>
    </row>
    <row r="870" ht="15.75" customHeight="1">
      <c r="E870" s="2"/>
    </row>
    <row r="871" ht="15.75" customHeight="1">
      <c r="E871" s="2"/>
    </row>
    <row r="872" ht="15.75" customHeight="1">
      <c r="E872" s="2"/>
    </row>
    <row r="873" ht="15.75" customHeight="1">
      <c r="E873" s="2"/>
    </row>
    <row r="874" ht="15.75" customHeight="1">
      <c r="E874" s="2"/>
    </row>
    <row r="875" ht="15.75" customHeight="1">
      <c r="E875" s="2"/>
    </row>
    <row r="876" ht="15.75" customHeight="1">
      <c r="E876" s="2"/>
    </row>
    <row r="877" ht="15.75" customHeight="1">
      <c r="E877" s="2"/>
    </row>
    <row r="878" ht="15.75" customHeight="1">
      <c r="E878" s="2"/>
    </row>
    <row r="879" ht="15.75" customHeight="1">
      <c r="E879" s="2"/>
    </row>
    <row r="880" ht="15.75" customHeight="1">
      <c r="E880" s="2"/>
    </row>
    <row r="881" ht="15.75" customHeight="1">
      <c r="E881" s="2"/>
    </row>
    <row r="882" ht="15.75" customHeight="1">
      <c r="E882" s="2"/>
    </row>
    <row r="883" ht="15.75" customHeight="1">
      <c r="E883" s="2"/>
    </row>
    <row r="884" ht="15.75" customHeight="1">
      <c r="E884" s="2"/>
    </row>
    <row r="885" ht="15.75" customHeight="1">
      <c r="E885" s="2"/>
    </row>
    <row r="886" ht="15.75" customHeight="1">
      <c r="E886" s="2"/>
    </row>
    <row r="887" ht="15.75" customHeight="1">
      <c r="E887" s="2"/>
    </row>
    <row r="888" ht="15.75" customHeight="1">
      <c r="E888" s="2"/>
    </row>
    <row r="889" ht="15.75" customHeight="1">
      <c r="E889" s="2"/>
    </row>
    <row r="890" ht="15.75" customHeight="1">
      <c r="E890" s="2"/>
    </row>
    <row r="891" ht="15.75" customHeight="1">
      <c r="E891" s="2"/>
    </row>
    <row r="892" ht="15.75" customHeight="1">
      <c r="E892" s="2"/>
    </row>
    <row r="893" ht="15.75" customHeight="1">
      <c r="E893" s="2"/>
    </row>
    <row r="894" ht="15.75" customHeight="1">
      <c r="E894" s="2"/>
    </row>
    <row r="895" ht="15.75" customHeight="1">
      <c r="E895" s="2"/>
    </row>
    <row r="896" ht="15.75" customHeight="1">
      <c r="E896" s="2"/>
    </row>
    <row r="897" ht="15.75" customHeight="1">
      <c r="E897" s="2"/>
    </row>
    <row r="898" ht="15.75" customHeight="1">
      <c r="E898" s="2"/>
    </row>
    <row r="899" ht="15.75" customHeight="1">
      <c r="E899" s="2"/>
    </row>
    <row r="900" ht="15.75" customHeight="1">
      <c r="E900" s="2"/>
    </row>
    <row r="901" ht="15.75" customHeight="1">
      <c r="E901" s="2"/>
    </row>
    <row r="902" ht="15.75" customHeight="1">
      <c r="E902" s="2"/>
    </row>
    <row r="903" ht="15.75" customHeight="1">
      <c r="E903" s="2"/>
    </row>
    <row r="904" ht="15.75" customHeight="1">
      <c r="E904" s="2"/>
    </row>
    <row r="905" ht="15.75" customHeight="1">
      <c r="E905" s="2"/>
    </row>
    <row r="906" ht="15.75" customHeight="1">
      <c r="E906" s="2"/>
    </row>
    <row r="907" ht="15.75" customHeight="1">
      <c r="E907" s="2"/>
    </row>
    <row r="908" ht="15.75" customHeight="1">
      <c r="E908" s="2"/>
    </row>
    <row r="909" ht="15.75" customHeight="1">
      <c r="E909" s="2"/>
    </row>
    <row r="910" ht="15.75" customHeight="1">
      <c r="E910" s="2"/>
    </row>
    <row r="911" ht="15.75" customHeight="1">
      <c r="E911" s="2"/>
    </row>
    <row r="912" ht="15.75" customHeight="1">
      <c r="E912" s="2"/>
    </row>
    <row r="913" ht="15.75" customHeight="1">
      <c r="E913" s="2"/>
    </row>
    <row r="914" ht="15.75" customHeight="1">
      <c r="E914" s="2"/>
    </row>
    <row r="915" ht="15.75" customHeight="1">
      <c r="E915" s="2"/>
    </row>
    <row r="916" ht="15.75" customHeight="1">
      <c r="E916" s="2"/>
    </row>
    <row r="917" ht="15.75" customHeight="1">
      <c r="E917" s="2"/>
    </row>
    <row r="918" ht="15.75" customHeight="1">
      <c r="E918" s="2"/>
    </row>
    <row r="919" ht="15.75" customHeight="1">
      <c r="E919" s="2"/>
    </row>
    <row r="920" ht="15.75" customHeight="1">
      <c r="E920" s="2"/>
    </row>
    <row r="921" ht="15.75" customHeight="1">
      <c r="E921" s="2"/>
    </row>
    <row r="922" ht="15.75" customHeight="1">
      <c r="E922" s="2"/>
    </row>
    <row r="923" ht="15.75" customHeight="1">
      <c r="E923" s="2"/>
    </row>
    <row r="924" ht="15.75" customHeight="1">
      <c r="E924" s="2"/>
    </row>
    <row r="925" ht="15.75" customHeight="1">
      <c r="E925" s="2"/>
    </row>
    <row r="926" ht="15.75" customHeight="1">
      <c r="E926" s="2"/>
    </row>
    <row r="927" ht="15.75" customHeight="1">
      <c r="E927" s="2"/>
    </row>
    <row r="928" ht="15.75" customHeight="1">
      <c r="E928" s="2"/>
    </row>
    <row r="929" ht="15.75" customHeight="1">
      <c r="E929" s="2"/>
    </row>
    <row r="930" ht="15.75" customHeight="1">
      <c r="E930" s="2"/>
    </row>
    <row r="931" ht="15.75" customHeight="1">
      <c r="E931" s="2"/>
    </row>
    <row r="932" ht="15.75" customHeight="1">
      <c r="E932" s="2"/>
    </row>
    <row r="933" ht="15.75" customHeight="1">
      <c r="E933" s="2"/>
    </row>
    <row r="934" ht="15.75" customHeight="1">
      <c r="E934" s="2"/>
    </row>
    <row r="935" ht="15.75" customHeight="1">
      <c r="E935" s="2"/>
    </row>
    <row r="936" ht="15.75" customHeight="1">
      <c r="E936" s="2"/>
    </row>
    <row r="937" ht="15.75" customHeight="1">
      <c r="E937" s="2"/>
    </row>
    <row r="938" ht="15.75" customHeight="1">
      <c r="E938" s="2"/>
    </row>
    <row r="939" ht="15.75" customHeight="1">
      <c r="E939" s="2"/>
    </row>
    <row r="940" ht="15.75" customHeight="1">
      <c r="E940" s="2"/>
    </row>
    <row r="941" ht="15.75" customHeight="1">
      <c r="E941" s="2"/>
    </row>
    <row r="942" ht="15.75" customHeight="1">
      <c r="E942" s="2"/>
    </row>
    <row r="943" ht="15.75" customHeight="1">
      <c r="E943" s="2"/>
    </row>
    <row r="944" ht="15.75" customHeight="1">
      <c r="E944" s="2"/>
    </row>
    <row r="945" ht="15.75" customHeight="1">
      <c r="E945" s="2"/>
    </row>
    <row r="946" ht="15.75" customHeight="1">
      <c r="E946" s="2"/>
    </row>
    <row r="947" ht="15.75" customHeight="1">
      <c r="E947" s="2"/>
    </row>
    <row r="948" ht="15.75" customHeight="1">
      <c r="E948" s="2"/>
    </row>
    <row r="949" ht="15.75" customHeight="1">
      <c r="E949" s="2"/>
    </row>
    <row r="950" ht="15.75" customHeight="1">
      <c r="E950" s="2"/>
    </row>
    <row r="951" ht="15.75" customHeight="1">
      <c r="E951" s="2"/>
    </row>
    <row r="952" ht="15.75" customHeight="1">
      <c r="E952" s="2"/>
    </row>
    <row r="953" ht="15.75" customHeight="1">
      <c r="E953" s="2"/>
    </row>
    <row r="954" ht="15.75" customHeight="1">
      <c r="E954" s="2"/>
    </row>
    <row r="955" ht="15.75" customHeight="1">
      <c r="E955" s="2"/>
    </row>
    <row r="956" ht="15.75" customHeight="1">
      <c r="E956" s="2"/>
    </row>
    <row r="957" ht="15.75" customHeight="1">
      <c r="E957" s="2"/>
    </row>
    <row r="958" ht="15.75" customHeight="1">
      <c r="E958" s="2"/>
    </row>
    <row r="959" ht="15.75" customHeight="1">
      <c r="E959" s="2"/>
    </row>
    <row r="960" ht="15.75" customHeight="1">
      <c r="E960" s="2"/>
    </row>
    <row r="961" ht="15.75" customHeight="1">
      <c r="E961" s="2"/>
    </row>
    <row r="962" ht="15.75" customHeight="1">
      <c r="E962" s="2"/>
    </row>
    <row r="963" ht="15.75" customHeight="1">
      <c r="E963" s="2"/>
    </row>
    <row r="964" ht="15.75" customHeight="1">
      <c r="E964" s="2"/>
    </row>
    <row r="965" ht="15.75" customHeight="1">
      <c r="E965" s="2"/>
    </row>
    <row r="966" ht="15.75" customHeight="1">
      <c r="E966" s="2"/>
    </row>
    <row r="967" ht="15.75" customHeight="1">
      <c r="E967" s="2"/>
    </row>
    <row r="968" ht="15.75" customHeight="1">
      <c r="E968" s="2"/>
    </row>
    <row r="969" ht="15.75" customHeight="1">
      <c r="E969" s="2"/>
    </row>
    <row r="970" ht="15.75" customHeight="1">
      <c r="E970" s="2"/>
    </row>
    <row r="971" ht="15.75" customHeight="1">
      <c r="E971" s="2"/>
    </row>
    <row r="972" ht="15.75" customHeight="1">
      <c r="E972" s="2"/>
    </row>
    <row r="973" ht="15.75" customHeight="1">
      <c r="E973" s="2"/>
    </row>
    <row r="974" ht="15.75" customHeight="1">
      <c r="E974" s="2"/>
    </row>
    <row r="975" ht="15.75" customHeight="1">
      <c r="E975" s="2"/>
    </row>
    <row r="976" ht="15.75" customHeight="1">
      <c r="E976" s="2"/>
    </row>
    <row r="977" ht="15.75" customHeight="1">
      <c r="E977" s="2"/>
    </row>
    <row r="978" ht="15.75" customHeight="1">
      <c r="E978" s="2"/>
    </row>
    <row r="979" ht="15.75" customHeight="1">
      <c r="E979" s="2"/>
    </row>
    <row r="980" ht="15.75" customHeight="1">
      <c r="E980" s="2"/>
    </row>
    <row r="981" ht="15.75" customHeight="1">
      <c r="E981" s="2"/>
    </row>
    <row r="982" ht="15.75" customHeight="1">
      <c r="E982" s="2"/>
    </row>
    <row r="983" ht="15.75" customHeight="1">
      <c r="E983" s="2"/>
    </row>
    <row r="984" ht="15.75" customHeight="1">
      <c r="E984" s="2"/>
    </row>
    <row r="985" ht="15.75" customHeight="1">
      <c r="E985" s="2"/>
    </row>
    <row r="986" ht="15.75" customHeight="1">
      <c r="E986" s="2"/>
    </row>
    <row r="987" ht="15.75" customHeight="1">
      <c r="E987" s="2"/>
    </row>
    <row r="988" ht="15.75" customHeight="1">
      <c r="E988" s="2"/>
    </row>
    <row r="989" ht="15.75" customHeight="1">
      <c r="E989" s="2"/>
    </row>
    <row r="990" ht="15.75" customHeight="1">
      <c r="E990" s="2"/>
    </row>
    <row r="991" ht="15.75" customHeight="1">
      <c r="E991" s="2"/>
    </row>
    <row r="992" ht="15.75" customHeight="1">
      <c r="E992" s="2"/>
    </row>
    <row r="993" ht="15.75" customHeight="1">
      <c r="E993" s="2"/>
    </row>
    <row r="994" ht="15.75" customHeight="1">
      <c r="E994" s="2"/>
    </row>
    <row r="995" ht="15.75" customHeight="1">
      <c r="E995" s="2"/>
    </row>
    <row r="996" ht="15.75" customHeight="1">
      <c r="E996" s="2"/>
    </row>
    <row r="997" ht="15.75" customHeight="1">
      <c r="E997" s="2"/>
    </row>
    <row r="998" ht="15.75" customHeight="1">
      <c r="E998" s="2"/>
    </row>
    <row r="999" ht="15.75" customHeight="1">
      <c r="E999" s="2"/>
    </row>
    <row r="1000" ht="15.75" customHeight="1">
      <c r="E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6.25"/>
    <col customWidth="1" min="3" max="3" width="10.75"/>
    <col customWidth="1" hidden="1" min="4" max="5" width="7.75"/>
    <col customWidth="1" min="6" max="6" width="26.25"/>
    <col customWidth="1" min="7" max="7" width="21.13"/>
    <col customWidth="1" hidden="1" min="8" max="8" width="5.38"/>
    <col customWidth="1" min="9" max="9" width="12.63"/>
    <col customWidth="1" min="10" max="10" width="45.88"/>
    <col customWidth="1" min="11" max="11" width="26.25"/>
    <col customWidth="1" min="12" max="12" width="26.0"/>
    <col customWidth="1" min="13" max="13" width="17.88"/>
    <col customWidth="1" min="14" max="14" width="10.75"/>
    <col customWidth="1" min="15" max="26" width="26.25"/>
  </cols>
  <sheetData>
    <row r="1">
      <c r="A1" s="4" t="s">
        <v>22</v>
      </c>
      <c r="C1" s="15" t="s">
        <v>23</v>
      </c>
      <c r="D1" s="15" t="s">
        <v>24</v>
      </c>
      <c r="E1" s="15"/>
      <c r="F1" s="15" t="s">
        <v>25</v>
      </c>
      <c r="G1" s="15" t="s">
        <v>26</v>
      </c>
      <c r="H1" s="15" t="s">
        <v>27</v>
      </c>
      <c r="I1" s="16" t="s">
        <v>6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32</v>
      </c>
      <c r="O1" s="15" t="s">
        <v>33</v>
      </c>
      <c r="P1" s="15" t="s">
        <v>34</v>
      </c>
      <c r="Q1" s="15" t="s">
        <v>35</v>
      </c>
    </row>
    <row r="2" ht="60.0" customHeight="1">
      <c r="A2" s="4" t="s">
        <v>36</v>
      </c>
      <c r="C2" s="17" t="s">
        <v>37</v>
      </c>
      <c r="D2" s="17"/>
      <c r="E2" s="17"/>
      <c r="F2" s="17" t="s">
        <v>38</v>
      </c>
      <c r="G2" s="17" t="s">
        <v>39</v>
      </c>
      <c r="H2" s="17" t="s">
        <v>40</v>
      </c>
      <c r="I2" s="18">
        <v>1.0</v>
      </c>
      <c r="J2" s="17" t="s">
        <v>41</v>
      </c>
      <c r="K2" s="17" t="s">
        <v>38</v>
      </c>
      <c r="L2" s="17" t="s">
        <v>42</v>
      </c>
      <c r="M2" s="17" t="s">
        <v>43</v>
      </c>
      <c r="N2" s="17" t="s">
        <v>44</v>
      </c>
      <c r="O2" s="17" t="s">
        <v>45</v>
      </c>
      <c r="P2" s="17" t="s">
        <v>46</v>
      </c>
      <c r="Q2" s="17" t="s">
        <v>47</v>
      </c>
      <c r="R2" s="19"/>
      <c r="S2" s="19"/>
      <c r="T2" s="19"/>
      <c r="U2" s="19"/>
      <c r="V2" s="19"/>
      <c r="W2" s="19"/>
      <c r="X2" s="19"/>
      <c r="Y2" s="19"/>
      <c r="Z2" s="19"/>
    </row>
    <row r="3" ht="60.0" customHeight="1">
      <c r="A3" s="4" t="s">
        <v>36</v>
      </c>
      <c r="C3" s="20" t="s">
        <v>37</v>
      </c>
      <c r="D3" s="20" t="s">
        <v>36</v>
      </c>
      <c r="E3" s="20"/>
      <c r="F3" s="20" t="s">
        <v>38</v>
      </c>
      <c r="G3" s="20" t="s">
        <v>39</v>
      </c>
      <c r="H3" s="20" t="s">
        <v>40</v>
      </c>
      <c r="I3" s="21">
        <v>1.0</v>
      </c>
      <c r="J3" s="20" t="s">
        <v>48</v>
      </c>
      <c r="K3" s="20" t="s">
        <v>38</v>
      </c>
      <c r="L3" s="20" t="s">
        <v>42</v>
      </c>
      <c r="M3" s="20" t="s">
        <v>43</v>
      </c>
      <c r="N3" s="20" t="s">
        <v>44</v>
      </c>
      <c r="O3" s="20" t="s">
        <v>45</v>
      </c>
      <c r="P3" s="20" t="s">
        <v>49</v>
      </c>
      <c r="Q3" s="20" t="s">
        <v>47</v>
      </c>
      <c r="R3" s="19"/>
      <c r="S3" s="19"/>
      <c r="T3" s="19"/>
      <c r="U3" s="19"/>
      <c r="V3" s="19"/>
      <c r="W3" s="19"/>
      <c r="X3" s="19"/>
      <c r="Y3" s="19"/>
      <c r="Z3" s="19"/>
    </row>
    <row r="4" ht="60.0" customHeight="1">
      <c r="A4" s="4" t="s">
        <v>36</v>
      </c>
      <c r="C4" s="17" t="s">
        <v>37</v>
      </c>
      <c r="D4" s="17" t="s">
        <v>36</v>
      </c>
      <c r="E4" s="17"/>
      <c r="F4" s="17" t="s">
        <v>38</v>
      </c>
      <c r="G4" s="17" t="s">
        <v>39</v>
      </c>
      <c r="H4" s="17" t="s">
        <v>40</v>
      </c>
      <c r="I4" s="18">
        <v>1.0</v>
      </c>
      <c r="J4" s="17" t="s">
        <v>50</v>
      </c>
      <c r="K4" s="17" t="s">
        <v>38</v>
      </c>
      <c r="L4" s="17" t="s">
        <v>42</v>
      </c>
      <c r="M4" s="17" t="s">
        <v>43</v>
      </c>
      <c r="N4" s="17" t="s">
        <v>44</v>
      </c>
      <c r="O4" s="17" t="s">
        <v>45</v>
      </c>
      <c r="P4" s="17" t="s">
        <v>51</v>
      </c>
      <c r="Q4" s="17" t="s">
        <v>47</v>
      </c>
      <c r="R4" s="19"/>
      <c r="S4" s="19"/>
      <c r="T4" s="19"/>
      <c r="U4" s="19"/>
      <c r="V4" s="19"/>
      <c r="W4" s="19"/>
      <c r="X4" s="19"/>
      <c r="Y4" s="19"/>
      <c r="Z4" s="19"/>
    </row>
    <row r="5" ht="60.0" customHeight="1">
      <c r="A5" s="4" t="s">
        <v>36</v>
      </c>
      <c r="C5" s="20" t="s">
        <v>37</v>
      </c>
      <c r="D5" s="20" t="s">
        <v>36</v>
      </c>
      <c r="E5" s="20"/>
      <c r="F5" s="20" t="s">
        <v>38</v>
      </c>
      <c r="G5" s="20" t="s">
        <v>39</v>
      </c>
      <c r="H5" s="20" t="s">
        <v>40</v>
      </c>
      <c r="I5" s="21">
        <v>1.0</v>
      </c>
      <c r="J5" s="20" t="s">
        <v>52</v>
      </c>
      <c r="K5" s="20" t="s">
        <v>38</v>
      </c>
      <c r="L5" s="20" t="s">
        <v>42</v>
      </c>
      <c r="M5" s="20" t="s">
        <v>43</v>
      </c>
      <c r="N5" s="20" t="s">
        <v>44</v>
      </c>
      <c r="O5" s="20" t="s">
        <v>45</v>
      </c>
      <c r="P5" s="20" t="s">
        <v>53</v>
      </c>
      <c r="Q5" s="20" t="s">
        <v>47</v>
      </c>
      <c r="R5" s="19"/>
      <c r="S5" s="19"/>
      <c r="T5" s="19"/>
      <c r="U5" s="19"/>
      <c r="V5" s="19"/>
      <c r="W5" s="19"/>
      <c r="X5" s="19"/>
      <c r="Y5" s="19"/>
      <c r="Z5" s="19"/>
    </row>
    <row r="6" ht="60.0" customHeight="1">
      <c r="A6" s="4" t="s">
        <v>36</v>
      </c>
      <c r="C6" s="17" t="s">
        <v>54</v>
      </c>
      <c r="D6" s="17" t="s">
        <v>55</v>
      </c>
      <c r="E6" s="17"/>
      <c r="F6" s="17" t="s">
        <v>56</v>
      </c>
      <c r="G6" s="17" t="s">
        <v>57</v>
      </c>
      <c r="H6" s="17" t="s">
        <v>58</v>
      </c>
      <c r="I6" s="18">
        <v>2.21</v>
      </c>
      <c r="J6" s="17" t="s">
        <v>59</v>
      </c>
      <c r="K6" s="17" t="s">
        <v>56</v>
      </c>
      <c r="L6" s="17" t="s">
        <v>60</v>
      </c>
      <c r="M6" s="17" t="s">
        <v>61</v>
      </c>
      <c r="N6" s="17" t="s">
        <v>62</v>
      </c>
      <c r="O6" s="17" t="s">
        <v>45</v>
      </c>
      <c r="P6" s="17" t="s">
        <v>63</v>
      </c>
      <c r="Q6" s="17" t="s">
        <v>64</v>
      </c>
      <c r="R6" s="19"/>
      <c r="S6" s="19"/>
      <c r="T6" s="19"/>
      <c r="U6" s="19"/>
      <c r="V6" s="19"/>
      <c r="W6" s="19"/>
      <c r="X6" s="19"/>
      <c r="Y6" s="19"/>
      <c r="Z6" s="19"/>
    </row>
    <row r="7" ht="60.0" customHeight="1">
      <c r="A7" s="4" t="s">
        <v>36</v>
      </c>
      <c r="C7" s="20" t="s">
        <v>65</v>
      </c>
      <c r="D7" s="20" t="s">
        <v>55</v>
      </c>
      <c r="E7" s="20"/>
      <c r="F7" s="20" t="s">
        <v>66</v>
      </c>
      <c r="G7" s="20" t="s">
        <v>67</v>
      </c>
      <c r="H7" s="20" t="s">
        <v>68</v>
      </c>
      <c r="I7" s="21">
        <v>5.0</v>
      </c>
      <c r="J7" s="20" t="s">
        <v>69</v>
      </c>
      <c r="K7" s="20" t="s">
        <v>66</v>
      </c>
      <c r="L7" s="20" t="s">
        <v>70</v>
      </c>
      <c r="M7" s="20" t="s">
        <v>71</v>
      </c>
      <c r="N7" s="20" t="s">
        <v>72</v>
      </c>
      <c r="O7" s="20" t="s">
        <v>45</v>
      </c>
      <c r="P7" s="20" t="s">
        <v>73</v>
      </c>
      <c r="Q7" s="20" t="s">
        <v>74</v>
      </c>
    </row>
    <row r="8" ht="60.0" customHeight="1">
      <c r="A8" s="4" t="s">
        <v>36</v>
      </c>
      <c r="C8" s="20" t="s">
        <v>75</v>
      </c>
      <c r="D8" s="20" t="s">
        <v>55</v>
      </c>
      <c r="E8" s="20"/>
      <c r="F8" s="20" t="s">
        <v>76</v>
      </c>
      <c r="G8" s="20" t="s">
        <v>67</v>
      </c>
      <c r="H8" s="20" t="s">
        <v>68</v>
      </c>
      <c r="I8" s="21">
        <v>6.99</v>
      </c>
      <c r="J8" s="20" t="s">
        <v>77</v>
      </c>
      <c r="K8" s="20" t="s">
        <v>76</v>
      </c>
      <c r="L8" s="20" t="s">
        <v>78</v>
      </c>
      <c r="M8" s="20" t="s">
        <v>79</v>
      </c>
      <c r="N8" s="20" t="s">
        <v>80</v>
      </c>
      <c r="O8" s="20" t="s">
        <v>45</v>
      </c>
      <c r="P8" s="20" t="s">
        <v>81</v>
      </c>
      <c r="Q8" s="20" t="s">
        <v>82</v>
      </c>
    </row>
    <row r="9" ht="60.0" customHeight="1">
      <c r="A9" s="4" t="s">
        <v>36</v>
      </c>
      <c r="C9" s="20" t="s">
        <v>83</v>
      </c>
      <c r="D9" s="20" t="s">
        <v>55</v>
      </c>
      <c r="E9" s="20"/>
      <c r="F9" s="20" t="s">
        <v>84</v>
      </c>
      <c r="G9" s="20" t="s">
        <v>39</v>
      </c>
      <c r="H9" s="20" t="s">
        <v>40</v>
      </c>
      <c r="I9" s="21">
        <v>7.01</v>
      </c>
      <c r="J9" s="20" t="s">
        <v>85</v>
      </c>
      <c r="K9" s="20" t="s">
        <v>84</v>
      </c>
      <c r="L9" s="20" t="s">
        <v>86</v>
      </c>
      <c r="M9" s="20" t="s">
        <v>87</v>
      </c>
      <c r="N9" s="20" t="s">
        <v>88</v>
      </c>
      <c r="O9" s="20" t="s">
        <v>45</v>
      </c>
      <c r="P9" s="20" t="s">
        <v>89</v>
      </c>
      <c r="Q9" s="20" t="s">
        <v>90</v>
      </c>
    </row>
    <row r="10" ht="60.0" customHeight="1">
      <c r="A10" s="4" t="s">
        <v>36</v>
      </c>
      <c r="C10" s="20" t="s">
        <v>91</v>
      </c>
      <c r="D10" s="20" t="s">
        <v>55</v>
      </c>
      <c r="E10" s="20"/>
      <c r="F10" s="20" t="s">
        <v>92</v>
      </c>
      <c r="G10" s="20" t="s">
        <v>93</v>
      </c>
      <c r="H10" s="20" t="s">
        <v>94</v>
      </c>
      <c r="I10" s="21">
        <v>7.4</v>
      </c>
      <c r="J10" s="20" t="s">
        <v>95</v>
      </c>
      <c r="K10" s="20" t="s">
        <v>92</v>
      </c>
      <c r="L10" s="20" t="s">
        <v>96</v>
      </c>
      <c r="M10" s="20" t="s">
        <v>97</v>
      </c>
      <c r="N10" s="20" t="s">
        <v>98</v>
      </c>
      <c r="O10" s="20" t="s">
        <v>45</v>
      </c>
      <c r="P10" s="20" t="s">
        <v>99</v>
      </c>
      <c r="Q10" s="20" t="s">
        <v>64</v>
      </c>
    </row>
    <row r="11" ht="60.0" customHeight="1">
      <c r="A11" s="4" t="s">
        <v>36</v>
      </c>
      <c r="C11" s="20" t="s">
        <v>100</v>
      </c>
      <c r="D11" s="20" t="s">
        <v>55</v>
      </c>
      <c r="E11" s="20"/>
      <c r="F11" s="20" t="s">
        <v>101</v>
      </c>
      <c r="G11" s="20" t="s">
        <v>67</v>
      </c>
      <c r="H11" s="20" t="s">
        <v>68</v>
      </c>
      <c r="I11" s="21">
        <v>7.83</v>
      </c>
      <c r="J11" s="20" t="s">
        <v>102</v>
      </c>
      <c r="K11" s="20" t="s">
        <v>101</v>
      </c>
      <c r="L11" s="20" t="s">
        <v>103</v>
      </c>
      <c r="M11" s="20" t="s">
        <v>104</v>
      </c>
      <c r="N11" s="20" t="s">
        <v>105</v>
      </c>
      <c r="O11" s="20" t="s">
        <v>45</v>
      </c>
      <c r="P11" s="20" t="s">
        <v>106</v>
      </c>
      <c r="Q11" s="20" t="s">
        <v>107</v>
      </c>
    </row>
    <row r="12" ht="60.0" customHeight="1">
      <c r="A12" s="4" t="s">
        <v>36</v>
      </c>
      <c r="C12" s="20" t="s">
        <v>108</v>
      </c>
      <c r="D12" s="20" t="s">
        <v>55</v>
      </c>
      <c r="E12" s="20"/>
      <c r="F12" s="20" t="s">
        <v>109</v>
      </c>
      <c r="G12" s="20" t="s">
        <v>57</v>
      </c>
      <c r="H12" s="20" t="s">
        <v>58</v>
      </c>
      <c r="I12" s="21">
        <v>9.99</v>
      </c>
      <c r="J12" s="20" t="s">
        <v>110</v>
      </c>
      <c r="K12" s="20" t="s">
        <v>109</v>
      </c>
      <c r="L12" s="20" t="s">
        <v>111</v>
      </c>
      <c r="M12" s="20" t="s">
        <v>71</v>
      </c>
      <c r="N12" s="20" t="s">
        <v>112</v>
      </c>
      <c r="O12" s="20" t="s">
        <v>45</v>
      </c>
      <c r="P12" s="20" t="s">
        <v>113</v>
      </c>
      <c r="Q12" s="20" t="s">
        <v>114</v>
      </c>
    </row>
    <row r="13" ht="60.0" customHeight="1">
      <c r="A13" s="4" t="s">
        <v>36</v>
      </c>
      <c r="C13" s="17" t="s">
        <v>115</v>
      </c>
      <c r="D13" s="17" t="s">
        <v>55</v>
      </c>
      <c r="E13" s="17"/>
      <c r="F13" s="17" t="s">
        <v>116</v>
      </c>
      <c r="G13" s="17" t="s">
        <v>57</v>
      </c>
      <c r="H13" s="17" t="s">
        <v>58</v>
      </c>
      <c r="I13" s="18">
        <v>10.35</v>
      </c>
      <c r="J13" s="17" t="s">
        <v>117</v>
      </c>
      <c r="K13" s="17" t="s">
        <v>116</v>
      </c>
      <c r="L13" s="17" t="s">
        <v>118</v>
      </c>
      <c r="M13" s="17" t="s">
        <v>119</v>
      </c>
      <c r="N13" s="17" t="s">
        <v>120</v>
      </c>
      <c r="O13" s="17" t="s">
        <v>45</v>
      </c>
      <c r="P13" s="17" t="s">
        <v>121</v>
      </c>
      <c r="Q13" s="17" t="s">
        <v>122</v>
      </c>
    </row>
    <row r="14" ht="60.0" customHeight="1">
      <c r="A14" s="4" t="s">
        <v>36</v>
      </c>
      <c r="C14" s="20" t="s">
        <v>123</v>
      </c>
      <c r="D14" s="20" t="s">
        <v>55</v>
      </c>
      <c r="E14" s="20"/>
      <c r="F14" s="20" t="s">
        <v>92</v>
      </c>
      <c r="G14" s="20" t="s">
        <v>93</v>
      </c>
      <c r="H14" s="20" t="s">
        <v>94</v>
      </c>
      <c r="I14" s="21">
        <v>10.49</v>
      </c>
      <c r="J14" s="20" t="s">
        <v>124</v>
      </c>
      <c r="K14" s="20" t="s">
        <v>92</v>
      </c>
      <c r="L14" s="20" t="s">
        <v>96</v>
      </c>
      <c r="M14" s="20" t="s">
        <v>97</v>
      </c>
      <c r="N14" s="20" t="s">
        <v>98</v>
      </c>
      <c r="O14" s="20" t="s">
        <v>45</v>
      </c>
      <c r="P14" s="20" t="s">
        <v>125</v>
      </c>
      <c r="Q14" s="20" t="s">
        <v>64</v>
      </c>
    </row>
    <row r="15" ht="60.0" customHeight="1">
      <c r="A15" s="4" t="s">
        <v>36</v>
      </c>
      <c r="C15" s="17" t="s">
        <v>123</v>
      </c>
      <c r="D15" s="17" t="s">
        <v>55</v>
      </c>
      <c r="E15" s="17"/>
      <c r="F15" s="17" t="s">
        <v>126</v>
      </c>
      <c r="G15" s="17" t="s">
        <v>127</v>
      </c>
      <c r="H15" s="17" t="s">
        <v>128</v>
      </c>
      <c r="I15" s="18">
        <v>13.66</v>
      </c>
      <c r="J15" s="17" t="s">
        <v>129</v>
      </c>
      <c r="K15" s="17" t="s">
        <v>126</v>
      </c>
      <c r="L15" s="17" t="s">
        <v>96</v>
      </c>
      <c r="M15" s="17" t="s">
        <v>97</v>
      </c>
      <c r="N15" s="17" t="s">
        <v>98</v>
      </c>
      <c r="O15" s="17" t="s">
        <v>45</v>
      </c>
      <c r="P15" s="17" t="s">
        <v>130</v>
      </c>
      <c r="Q15" s="17" t="s">
        <v>64</v>
      </c>
    </row>
    <row r="16" ht="60.0" customHeight="1">
      <c r="A16" s="4" t="s">
        <v>36</v>
      </c>
      <c r="C16" s="20" t="s">
        <v>131</v>
      </c>
      <c r="D16" s="20" t="s">
        <v>55</v>
      </c>
      <c r="E16" s="20"/>
      <c r="F16" s="20" t="s">
        <v>92</v>
      </c>
      <c r="G16" s="20" t="s">
        <v>127</v>
      </c>
      <c r="H16" s="20" t="s">
        <v>128</v>
      </c>
      <c r="I16" s="21">
        <v>13.86</v>
      </c>
      <c r="J16" s="20" t="s">
        <v>132</v>
      </c>
      <c r="K16" s="20" t="s">
        <v>92</v>
      </c>
      <c r="L16" s="20" t="s">
        <v>96</v>
      </c>
      <c r="M16" s="20" t="s">
        <v>97</v>
      </c>
      <c r="N16" s="20" t="s">
        <v>98</v>
      </c>
      <c r="O16" s="20" t="s">
        <v>45</v>
      </c>
      <c r="P16" s="20" t="s">
        <v>133</v>
      </c>
      <c r="Q16" s="20" t="s">
        <v>64</v>
      </c>
    </row>
    <row r="17" ht="60.0" customHeight="1">
      <c r="A17" s="4" t="s">
        <v>36</v>
      </c>
      <c r="C17" s="17" t="s">
        <v>134</v>
      </c>
      <c r="D17" s="17" t="s">
        <v>55</v>
      </c>
      <c r="E17" s="17"/>
      <c r="F17" s="17" t="s">
        <v>84</v>
      </c>
      <c r="G17" s="17" t="s">
        <v>39</v>
      </c>
      <c r="H17" s="17" t="s">
        <v>40</v>
      </c>
      <c r="I17" s="18">
        <v>14.02</v>
      </c>
      <c r="J17" s="17" t="s">
        <v>135</v>
      </c>
      <c r="K17" s="17" t="s">
        <v>84</v>
      </c>
      <c r="L17" s="17" t="s">
        <v>86</v>
      </c>
      <c r="M17" s="17" t="s">
        <v>87</v>
      </c>
      <c r="N17" s="17" t="s">
        <v>88</v>
      </c>
      <c r="O17" s="17" t="s">
        <v>45</v>
      </c>
      <c r="P17" s="17" t="s">
        <v>136</v>
      </c>
      <c r="Q17" s="17" t="s">
        <v>90</v>
      </c>
    </row>
    <row r="18" ht="60.0" customHeight="1">
      <c r="A18" s="4" t="s">
        <v>36</v>
      </c>
      <c r="C18" s="17" t="s">
        <v>131</v>
      </c>
      <c r="D18" s="17" t="s">
        <v>55</v>
      </c>
      <c r="E18" s="17"/>
      <c r="F18" s="17" t="s">
        <v>137</v>
      </c>
      <c r="G18" s="17" t="s">
        <v>138</v>
      </c>
      <c r="H18" s="17" t="s">
        <v>139</v>
      </c>
      <c r="I18" s="18">
        <v>14.2</v>
      </c>
      <c r="J18" s="17" t="s">
        <v>140</v>
      </c>
      <c r="K18" s="17" t="s">
        <v>137</v>
      </c>
      <c r="L18" s="17" t="s">
        <v>141</v>
      </c>
      <c r="M18" s="17" t="s">
        <v>142</v>
      </c>
      <c r="N18" s="17" t="s">
        <v>143</v>
      </c>
      <c r="O18" s="17" t="s">
        <v>45</v>
      </c>
      <c r="P18" s="17" t="s">
        <v>144</v>
      </c>
      <c r="Q18" s="17" t="s">
        <v>74</v>
      </c>
    </row>
    <row r="19" ht="60.0" customHeight="1">
      <c r="A19" s="4" t="s">
        <v>36</v>
      </c>
      <c r="C19" s="17" t="s">
        <v>37</v>
      </c>
      <c r="D19" s="17" t="s">
        <v>55</v>
      </c>
      <c r="E19" s="17"/>
      <c r="F19" s="17" t="s">
        <v>56</v>
      </c>
      <c r="G19" s="17" t="s">
        <v>57</v>
      </c>
      <c r="H19" s="17" t="s">
        <v>58</v>
      </c>
      <c r="I19" s="18">
        <v>16.73</v>
      </c>
      <c r="J19" s="17" t="s">
        <v>145</v>
      </c>
      <c r="K19" s="17" t="s">
        <v>56</v>
      </c>
      <c r="L19" s="17" t="s">
        <v>60</v>
      </c>
      <c r="M19" s="17" t="s">
        <v>61</v>
      </c>
      <c r="N19" s="17" t="s">
        <v>62</v>
      </c>
      <c r="O19" s="17" t="s">
        <v>45</v>
      </c>
      <c r="P19" s="17" t="s">
        <v>146</v>
      </c>
      <c r="Q19" s="17" t="s">
        <v>64</v>
      </c>
    </row>
    <row r="20" ht="60.0" customHeight="1">
      <c r="A20" s="4" t="s">
        <v>36</v>
      </c>
      <c r="C20" s="20" t="s">
        <v>147</v>
      </c>
      <c r="D20" s="20" t="s">
        <v>55</v>
      </c>
      <c r="E20" s="20"/>
      <c r="F20" s="20" t="s">
        <v>148</v>
      </c>
      <c r="G20" s="20" t="s">
        <v>149</v>
      </c>
      <c r="H20" s="20" t="s">
        <v>150</v>
      </c>
      <c r="I20" s="21">
        <v>18.66</v>
      </c>
      <c r="J20" s="20" t="s">
        <v>151</v>
      </c>
      <c r="K20" s="20" t="s">
        <v>148</v>
      </c>
      <c r="L20" s="20" t="s">
        <v>152</v>
      </c>
      <c r="M20" s="20" t="s">
        <v>153</v>
      </c>
      <c r="N20" s="20" t="s">
        <v>154</v>
      </c>
      <c r="O20" s="20" t="s">
        <v>45</v>
      </c>
      <c r="P20" s="20" t="s">
        <v>155</v>
      </c>
      <c r="Q20" s="20" t="s">
        <v>64</v>
      </c>
    </row>
    <row r="21" ht="60.0" customHeight="1">
      <c r="A21" s="4" t="s">
        <v>36</v>
      </c>
      <c r="C21" s="17" t="s">
        <v>156</v>
      </c>
      <c r="D21" s="17" t="s">
        <v>55</v>
      </c>
      <c r="E21" s="17"/>
      <c r="F21" s="17" t="s">
        <v>157</v>
      </c>
      <c r="G21" s="17" t="s">
        <v>39</v>
      </c>
      <c r="H21" s="17" t="s">
        <v>40</v>
      </c>
      <c r="I21" s="18">
        <v>18.94</v>
      </c>
      <c r="J21" s="17" t="s">
        <v>158</v>
      </c>
      <c r="K21" s="17" t="s">
        <v>159</v>
      </c>
      <c r="L21" s="17" t="s">
        <v>86</v>
      </c>
      <c r="M21" s="17" t="s">
        <v>87</v>
      </c>
      <c r="N21" s="17" t="s">
        <v>88</v>
      </c>
      <c r="O21" s="17" t="s">
        <v>45</v>
      </c>
      <c r="P21" s="17" t="s">
        <v>160</v>
      </c>
      <c r="Q21" s="17" t="s">
        <v>90</v>
      </c>
    </row>
    <row r="22" ht="60.0" customHeight="1">
      <c r="A22" s="4" t="s">
        <v>36</v>
      </c>
      <c r="C22" s="20" t="s">
        <v>131</v>
      </c>
      <c r="D22" s="20" t="s">
        <v>55</v>
      </c>
      <c r="E22" s="20"/>
      <c r="F22" s="20" t="s">
        <v>56</v>
      </c>
      <c r="G22" s="20" t="s">
        <v>93</v>
      </c>
      <c r="H22" s="20" t="s">
        <v>94</v>
      </c>
      <c r="I22" s="21">
        <v>21.05</v>
      </c>
      <c r="J22" s="20" t="s">
        <v>161</v>
      </c>
      <c r="K22" s="20" t="s">
        <v>56</v>
      </c>
      <c r="L22" s="20" t="s">
        <v>60</v>
      </c>
      <c r="M22" s="20" t="s">
        <v>61</v>
      </c>
      <c r="N22" s="20" t="s">
        <v>62</v>
      </c>
      <c r="O22" s="20" t="s">
        <v>45</v>
      </c>
      <c r="P22" s="20" t="s">
        <v>162</v>
      </c>
      <c r="Q22" s="20" t="s">
        <v>64</v>
      </c>
    </row>
    <row r="23" ht="60.0" customHeight="1">
      <c r="A23" s="4" t="s">
        <v>36</v>
      </c>
      <c r="C23" s="17" t="s">
        <v>91</v>
      </c>
      <c r="D23" s="17" t="s">
        <v>55</v>
      </c>
      <c r="E23" s="17"/>
      <c r="F23" s="17" t="s">
        <v>163</v>
      </c>
      <c r="G23" s="17" t="s">
        <v>127</v>
      </c>
      <c r="H23" s="17" t="s">
        <v>128</v>
      </c>
      <c r="I23" s="18">
        <v>22.03</v>
      </c>
      <c r="J23" s="17" t="s">
        <v>164</v>
      </c>
      <c r="K23" s="17" t="s">
        <v>163</v>
      </c>
      <c r="L23" s="17" t="s">
        <v>165</v>
      </c>
      <c r="M23" s="17" t="s">
        <v>142</v>
      </c>
      <c r="N23" s="17" t="s">
        <v>166</v>
      </c>
      <c r="O23" s="17" t="s">
        <v>45</v>
      </c>
      <c r="P23" s="17" t="s">
        <v>167</v>
      </c>
      <c r="Q23" s="17" t="s">
        <v>114</v>
      </c>
    </row>
    <row r="24" ht="60.0" customHeight="1">
      <c r="A24" s="4" t="s">
        <v>168</v>
      </c>
      <c r="C24" s="17" t="s">
        <v>75</v>
      </c>
      <c r="D24" s="17" t="s">
        <v>55</v>
      </c>
      <c r="E24" s="17"/>
      <c r="F24" s="17" t="s">
        <v>169</v>
      </c>
      <c r="G24" s="17" t="s">
        <v>149</v>
      </c>
      <c r="H24" s="17" t="s">
        <v>150</v>
      </c>
      <c r="I24" s="18">
        <v>24.91</v>
      </c>
      <c r="J24" s="17" t="s">
        <v>170</v>
      </c>
      <c r="K24" s="17" t="s">
        <v>169</v>
      </c>
      <c r="L24" s="17" t="s">
        <v>171</v>
      </c>
      <c r="M24" s="17" t="s">
        <v>119</v>
      </c>
      <c r="N24" s="17" t="s">
        <v>172</v>
      </c>
      <c r="O24" s="17" t="s">
        <v>45</v>
      </c>
      <c r="P24" s="17" t="s">
        <v>173</v>
      </c>
      <c r="Q24" s="17" t="s">
        <v>174</v>
      </c>
    </row>
    <row r="25" ht="60.0" customHeight="1">
      <c r="A25" s="4" t="s">
        <v>168</v>
      </c>
      <c r="C25" s="20" t="s">
        <v>37</v>
      </c>
      <c r="D25" s="20" t="s">
        <v>55</v>
      </c>
      <c r="E25" s="20"/>
      <c r="F25" s="20" t="s">
        <v>84</v>
      </c>
      <c r="G25" s="20" t="s">
        <v>67</v>
      </c>
      <c r="H25" s="20" t="s">
        <v>68</v>
      </c>
      <c r="I25" s="21">
        <v>26.49</v>
      </c>
      <c r="J25" s="20" t="s">
        <v>175</v>
      </c>
      <c r="K25" s="20" t="s">
        <v>84</v>
      </c>
      <c r="L25" s="20" t="s">
        <v>86</v>
      </c>
      <c r="M25" s="20" t="s">
        <v>87</v>
      </c>
      <c r="N25" s="20" t="s">
        <v>88</v>
      </c>
      <c r="O25" s="20" t="s">
        <v>45</v>
      </c>
      <c r="P25" s="20" t="s">
        <v>176</v>
      </c>
      <c r="Q25" s="20" t="s">
        <v>90</v>
      </c>
    </row>
    <row r="26" ht="60.0" customHeight="1">
      <c r="A26" s="4" t="s">
        <v>168</v>
      </c>
      <c r="C26" s="20" t="s">
        <v>54</v>
      </c>
      <c r="D26" s="20" t="s">
        <v>55</v>
      </c>
      <c r="E26" s="20"/>
      <c r="F26" s="20" t="s">
        <v>177</v>
      </c>
      <c r="G26" s="20" t="s">
        <v>93</v>
      </c>
      <c r="H26" s="20" t="s">
        <v>94</v>
      </c>
      <c r="I26" s="21">
        <v>27.4</v>
      </c>
      <c r="J26" s="20" t="s">
        <v>178</v>
      </c>
      <c r="K26" s="20" t="s">
        <v>177</v>
      </c>
      <c r="L26" s="20" t="s">
        <v>179</v>
      </c>
      <c r="M26" s="20" t="s">
        <v>142</v>
      </c>
      <c r="N26" s="20" t="s">
        <v>180</v>
      </c>
      <c r="O26" s="20" t="s">
        <v>45</v>
      </c>
      <c r="P26" s="20" t="s">
        <v>181</v>
      </c>
      <c r="Q26" s="20" t="s">
        <v>182</v>
      </c>
    </row>
    <row r="27" ht="60.0" customHeight="1">
      <c r="A27" s="4" t="s">
        <v>168</v>
      </c>
      <c r="C27" s="17" t="s">
        <v>183</v>
      </c>
      <c r="D27" s="17" t="s">
        <v>55</v>
      </c>
      <c r="E27" s="17"/>
      <c r="F27" s="17" t="s">
        <v>92</v>
      </c>
      <c r="G27" s="17" t="s">
        <v>138</v>
      </c>
      <c r="H27" s="17" t="s">
        <v>139</v>
      </c>
      <c r="I27" s="18">
        <v>28.14</v>
      </c>
      <c r="J27" s="17" t="s">
        <v>184</v>
      </c>
      <c r="K27" s="17" t="s">
        <v>92</v>
      </c>
      <c r="L27" s="17" t="s">
        <v>96</v>
      </c>
      <c r="M27" s="17" t="s">
        <v>97</v>
      </c>
      <c r="N27" s="17" t="s">
        <v>98</v>
      </c>
      <c r="O27" s="17" t="s">
        <v>45</v>
      </c>
      <c r="P27" s="17" t="s">
        <v>185</v>
      </c>
      <c r="Q27" s="17" t="s">
        <v>64</v>
      </c>
    </row>
    <row r="28" ht="60.0" customHeight="1">
      <c r="A28" s="4" t="s">
        <v>168</v>
      </c>
      <c r="C28" s="20" t="s">
        <v>75</v>
      </c>
      <c r="D28" s="20" t="s">
        <v>55</v>
      </c>
      <c r="E28" s="20"/>
      <c r="F28" s="20" t="s">
        <v>186</v>
      </c>
      <c r="G28" s="20" t="s">
        <v>57</v>
      </c>
      <c r="H28" s="20" t="s">
        <v>58</v>
      </c>
      <c r="I28" s="21">
        <v>29.62</v>
      </c>
      <c r="J28" s="20" t="s">
        <v>187</v>
      </c>
      <c r="K28" s="20" t="s">
        <v>186</v>
      </c>
      <c r="L28" s="20" t="s">
        <v>188</v>
      </c>
      <c r="M28" s="20" t="s">
        <v>189</v>
      </c>
      <c r="N28" s="20" t="s">
        <v>190</v>
      </c>
      <c r="O28" s="20" t="s">
        <v>45</v>
      </c>
      <c r="P28" s="20" t="s">
        <v>191</v>
      </c>
      <c r="Q28" s="20" t="s">
        <v>64</v>
      </c>
    </row>
    <row r="29" ht="60.0" customHeight="1">
      <c r="A29" s="4" t="s">
        <v>168</v>
      </c>
      <c r="C29" s="20" t="s">
        <v>108</v>
      </c>
      <c r="D29" s="20" t="s">
        <v>55</v>
      </c>
      <c r="E29" s="20"/>
      <c r="F29" s="20" t="s">
        <v>192</v>
      </c>
      <c r="G29" s="20" t="s">
        <v>127</v>
      </c>
      <c r="H29" s="20" t="s">
        <v>128</v>
      </c>
      <c r="I29" s="21">
        <v>32.55</v>
      </c>
      <c r="J29" s="20" t="s">
        <v>193</v>
      </c>
      <c r="K29" s="20" t="s">
        <v>192</v>
      </c>
      <c r="L29" s="20" t="s">
        <v>194</v>
      </c>
      <c r="M29" s="20" t="s">
        <v>142</v>
      </c>
      <c r="N29" s="20" t="s">
        <v>166</v>
      </c>
      <c r="O29" s="20" t="s">
        <v>45</v>
      </c>
      <c r="P29" s="20" t="s">
        <v>195</v>
      </c>
      <c r="Q29" s="20" t="s">
        <v>114</v>
      </c>
    </row>
    <row r="30" ht="60.0" customHeight="1">
      <c r="A30" s="4" t="s">
        <v>168</v>
      </c>
      <c r="C30" s="20" t="s">
        <v>196</v>
      </c>
      <c r="D30" s="20" t="s">
        <v>55</v>
      </c>
      <c r="E30" s="20"/>
      <c r="F30" s="20" t="s">
        <v>197</v>
      </c>
      <c r="G30" s="20" t="s">
        <v>39</v>
      </c>
      <c r="H30" s="20" t="s">
        <v>40</v>
      </c>
      <c r="I30" s="21">
        <v>34.29</v>
      </c>
      <c r="J30" s="20" t="s">
        <v>198</v>
      </c>
      <c r="K30" s="20" t="s">
        <v>197</v>
      </c>
      <c r="L30" s="20" t="s">
        <v>199</v>
      </c>
      <c r="M30" s="20" t="s">
        <v>200</v>
      </c>
      <c r="N30" s="20" t="s">
        <v>201</v>
      </c>
      <c r="O30" s="20" t="s">
        <v>45</v>
      </c>
      <c r="P30" s="20" t="s">
        <v>202</v>
      </c>
      <c r="Q30" s="20" t="s">
        <v>64</v>
      </c>
    </row>
    <row r="31" ht="60.0" customHeight="1">
      <c r="A31" s="4" t="s">
        <v>168</v>
      </c>
      <c r="C31" s="20" t="s">
        <v>147</v>
      </c>
      <c r="D31" s="20" t="s">
        <v>55</v>
      </c>
      <c r="E31" s="20"/>
      <c r="F31" s="20" t="s">
        <v>203</v>
      </c>
      <c r="G31" s="20" t="s">
        <v>93</v>
      </c>
      <c r="H31" s="20" t="s">
        <v>94</v>
      </c>
      <c r="I31" s="21">
        <v>39.0</v>
      </c>
      <c r="J31" s="20" t="s">
        <v>204</v>
      </c>
      <c r="K31" s="20" t="s">
        <v>203</v>
      </c>
      <c r="L31" s="20" t="s">
        <v>55</v>
      </c>
      <c r="M31" s="20" t="s">
        <v>55</v>
      </c>
      <c r="N31" s="20" t="s">
        <v>55</v>
      </c>
      <c r="O31" s="20" t="s">
        <v>55</v>
      </c>
      <c r="P31" s="20" t="s">
        <v>205</v>
      </c>
      <c r="Q31" s="20" t="s">
        <v>206</v>
      </c>
    </row>
    <row r="32" ht="60.0" customHeight="1">
      <c r="A32" s="4" t="s">
        <v>168</v>
      </c>
      <c r="C32" s="20" t="s">
        <v>123</v>
      </c>
      <c r="D32" s="20" t="s">
        <v>55</v>
      </c>
      <c r="E32" s="20"/>
      <c r="F32" s="20" t="s">
        <v>126</v>
      </c>
      <c r="G32" s="20" t="s">
        <v>127</v>
      </c>
      <c r="H32" s="20" t="s">
        <v>128</v>
      </c>
      <c r="I32" s="21">
        <v>39.86</v>
      </c>
      <c r="J32" s="20" t="s">
        <v>207</v>
      </c>
      <c r="K32" s="20" t="s">
        <v>126</v>
      </c>
      <c r="L32" s="20" t="s">
        <v>208</v>
      </c>
      <c r="M32" s="20" t="s">
        <v>97</v>
      </c>
      <c r="N32" s="20" t="s">
        <v>98</v>
      </c>
      <c r="O32" s="20" t="s">
        <v>45</v>
      </c>
      <c r="P32" s="20" t="s">
        <v>209</v>
      </c>
      <c r="Q32" s="20" t="s">
        <v>64</v>
      </c>
    </row>
    <row r="33" ht="60.0" customHeight="1">
      <c r="A33" s="4" t="s">
        <v>36</v>
      </c>
      <c r="C33" s="17" t="s">
        <v>156</v>
      </c>
      <c r="D33" s="17" t="s">
        <v>55</v>
      </c>
      <c r="E33" s="17"/>
      <c r="F33" s="17" t="s">
        <v>210</v>
      </c>
      <c r="G33" s="17" t="s">
        <v>57</v>
      </c>
      <c r="H33" s="17" t="s">
        <v>58</v>
      </c>
      <c r="I33" s="18">
        <v>42.1</v>
      </c>
      <c r="J33" s="17" t="s">
        <v>211</v>
      </c>
      <c r="K33" s="17" t="s">
        <v>210</v>
      </c>
      <c r="L33" s="17" t="s">
        <v>212</v>
      </c>
      <c r="M33" s="17" t="s">
        <v>142</v>
      </c>
      <c r="N33" s="17" t="s">
        <v>213</v>
      </c>
      <c r="O33" s="17" t="s">
        <v>45</v>
      </c>
      <c r="P33" s="17" t="s">
        <v>214</v>
      </c>
      <c r="Q33" s="17" t="s">
        <v>174</v>
      </c>
    </row>
    <row r="34" ht="60.0" customHeight="1">
      <c r="A34" s="4" t="s">
        <v>36</v>
      </c>
      <c r="C34" s="20" t="s">
        <v>91</v>
      </c>
      <c r="D34" s="20" t="s">
        <v>55</v>
      </c>
      <c r="E34" s="20"/>
      <c r="F34" s="20" t="s">
        <v>215</v>
      </c>
      <c r="G34" s="20" t="s">
        <v>127</v>
      </c>
      <c r="H34" s="20" t="s">
        <v>128</v>
      </c>
      <c r="I34" s="21">
        <v>42.75</v>
      </c>
      <c r="J34" s="20" t="s">
        <v>216</v>
      </c>
      <c r="K34" s="20" t="s">
        <v>215</v>
      </c>
      <c r="L34" s="20" t="s">
        <v>217</v>
      </c>
      <c r="M34" s="20" t="s">
        <v>218</v>
      </c>
      <c r="N34" s="20" t="s">
        <v>219</v>
      </c>
      <c r="O34" s="20" t="s">
        <v>45</v>
      </c>
      <c r="P34" s="20" t="s">
        <v>220</v>
      </c>
      <c r="Q34" s="20" t="s">
        <v>221</v>
      </c>
    </row>
    <row r="35" ht="60.0" customHeight="1">
      <c r="A35" s="4" t="s">
        <v>36</v>
      </c>
      <c r="C35" s="17" t="s">
        <v>37</v>
      </c>
      <c r="D35" s="17" t="s">
        <v>55</v>
      </c>
      <c r="E35" s="17"/>
      <c r="F35" s="17" t="s">
        <v>222</v>
      </c>
      <c r="G35" s="17" t="s">
        <v>67</v>
      </c>
      <c r="H35" s="17" t="s">
        <v>68</v>
      </c>
      <c r="I35" s="18">
        <v>45.7</v>
      </c>
      <c r="J35" s="17" t="s">
        <v>223</v>
      </c>
      <c r="K35" s="17" t="s">
        <v>222</v>
      </c>
      <c r="L35" s="17" t="s">
        <v>70</v>
      </c>
      <c r="M35" s="17" t="s">
        <v>71</v>
      </c>
      <c r="N35" s="17" t="s">
        <v>72</v>
      </c>
      <c r="O35" s="17" t="s">
        <v>45</v>
      </c>
      <c r="P35" s="17" t="s">
        <v>224</v>
      </c>
      <c r="Q35" s="17" t="s">
        <v>74</v>
      </c>
    </row>
    <row r="36" ht="60.0" customHeight="1">
      <c r="A36" s="4" t="s">
        <v>36</v>
      </c>
      <c r="C36" s="20" t="s">
        <v>225</v>
      </c>
      <c r="D36" s="20" t="s">
        <v>55</v>
      </c>
      <c r="E36" s="20"/>
      <c r="F36" s="20" t="s">
        <v>186</v>
      </c>
      <c r="G36" s="20" t="s">
        <v>149</v>
      </c>
      <c r="H36" s="20" t="s">
        <v>150</v>
      </c>
      <c r="I36" s="21">
        <v>46.27</v>
      </c>
      <c r="J36" s="20" t="s">
        <v>226</v>
      </c>
      <c r="K36" s="20" t="s">
        <v>186</v>
      </c>
      <c r="L36" s="20" t="s">
        <v>188</v>
      </c>
      <c r="M36" s="20" t="s">
        <v>189</v>
      </c>
      <c r="N36" s="20" t="s">
        <v>190</v>
      </c>
      <c r="O36" s="20" t="s">
        <v>45</v>
      </c>
      <c r="P36" s="20" t="s">
        <v>227</v>
      </c>
      <c r="Q36" s="20" t="s">
        <v>64</v>
      </c>
    </row>
    <row r="37" ht="60.0" customHeight="1">
      <c r="A37" s="22" t="s">
        <v>36</v>
      </c>
      <c r="B37" s="22"/>
      <c r="C37" s="20" t="s">
        <v>75</v>
      </c>
      <c r="D37" s="20" t="s">
        <v>55</v>
      </c>
      <c r="E37" s="20"/>
      <c r="F37" s="20" t="s">
        <v>228</v>
      </c>
      <c r="G37" s="20" t="s">
        <v>57</v>
      </c>
      <c r="H37" s="20" t="s">
        <v>58</v>
      </c>
      <c r="I37" s="21">
        <v>47.5</v>
      </c>
      <c r="J37" s="20" t="s">
        <v>229</v>
      </c>
      <c r="K37" s="20" t="s">
        <v>228</v>
      </c>
      <c r="L37" s="20" t="s">
        <v>230</v>
      </c>
      <c r="M37" s="20" t="s">
        <v>119</v>
      </c>
      <c r="N37" s="20" t="s">
        <v>231</v>
      </c>
      <c r="O37" s="20" t="s">
        <v>45</v>
      </c>
      <c r="P37" s="20" t="s">
        <v>232</v>
      </c>
      <c r="Q37" s="20" t="s">
        <v>64</v>
      </c>
    </row>
    <row r="38" ht="60.0" customHeight="1">
      <c r="A38" s="4" t="s">
        <v>36</v>
      </c>
      <c r="C38" s="17" t="s">
        <v>233</v>
      </c>
      <c r="D38" s="17" t="s">
        <v>55</v>
      </c>
      <c r="E38" s="17"/>
      <c r="F38" s="17" t="s">
        <v>126</v>
      </c>
      <c r="G38" s="17" t="s">
        <v>149</v>
      </c>
      <c r="H38" s="17" t="s">
        <v>150</v>
      </c>
      <c r="I38" s="18">
        <v>54.6</v>
      </c>
      <c r="J38" s="17" t="s">
        <v>234</v>
      </c>
      <c r="K38" s="17" t="s">
        <v>126</v>
      </c>
      <c r="L38" s="17" t="s">
        <v>208</v>
      </c>
      <c r="M38" s="17" t="s">
        <v>97</v>
      </c>
      <c r="N38" s="17" t="s">
        <v>98</v>
      </c>
      <c r="O38" s="17" t="s">
        <v>45</v>
      </c>
      <c r="P38" s="17" t="s">
        <v>235</v>
      </c>
      <c r="Q38" s="17" t="s">
        <v>64</v>
      </c>
    </row>
    <row r="39" ht="60.0" customHeight="1">
      <c r="A39" s="4" t="s">
        <v>36</v>
      </c>
      <c r="C39" s="20" t="s">
        <v>147</v>
      </c>
      <c r="D39" s="20" t="s">
        <v>55</v>
      </c>
      <c r="E39" s="20"/>
      <c r="F39" s="20" t="s">
        <v>236</v>
      </c>
      <c r="G39" s="20" t="s">
        <v>57</v>
      </c>
      <c r="H39" s="20" t="s">
        <v>58</v>
      </c>
      <c r="I39" s="21">
        <v>55.67</v>
      </c>
      <c r="J39" s="20" t="s">
        <v>237</v>
      </c>
      <c r="K39" s="20" t="s">
        <v>236</v>
      </c>
      <c r="L39" s="20" t="s">
        <v>152</v>
      </c>
      <c r="M39" s="20" t="s">
        <v>153</v>
      </c>
      <c r="N39" s="20" t="s">
        <v>154</v>
      </c>
      <c r="O39" s="20" t="s">
        <v>45</v>
      </c>
      <c r="P39" s="20" t="s">
        <v>238</v>
      </c>
      <c r="Q39" s="20" t="s">
        <v>64</v>
      </c>
    </row>
    <row r="40" ht="60.0" customHeight="1">
      <c r="A40" s="4" t="s">
        <v>36</v>
      </c>
      <c r="C40" s="17" t="s">
        <v>239</v>
      </c>
      <c r="D40" s="17" t="s">
        <v>55</v>
      </c>
      <c r="E40" s="17"/>
      <c r="F40" s="17" t="s">
        <v>240</v>
      </c>
      <c r="G40" s="17" t="s">
        <v>57</v>
      </c>
      <c r="H40" s="17" t="s">
        <v>58</v>
      </c>
      <c r="I40" s="18">
        <v>56.62</v>
      </c>
      <c r="J40" s="17" t="s">
        <v>241</v>
      </c>
      <c r="K40" s="17" t="s">
        <v>240</v>
      </c>
      <c r="L40" s="17" t="s">
        <v>242</v>
      </c>
      <c r="M40" s="17" t="s">
        <v>243</v>
      </c>
      <c r="N40" s="17" t="s">
        <v>244</v>
      </c>
      <c r="O40" s="17" t="s">
        <v>45</v>
      </c>
      <c r="P40" s="17" t="s">
        <v>245</v>
      </c>
      <c r="Q40" s="17" t="s">
        <v>74</v>
      </c>
    </row>
    <row r="41" ht="60.0" customHeight="1">
      <c r="A41" s="4" t="s">
        <v>36</v>
      </c>
      <c r="C41" s="20" t="s">
        <v>131</v>
      </c>
      <c r="D41" s="20" t="s">
        <v>55</v>
      </c>
      <c r="E41" s="20"/>
      <c r="F41" s="20" t="s">
        <v>246</v>
      </c>
      <c r="G41" s="20" t="s">
        <v>138</v>
      </c>
      <c r="H41" s="20" t="s">
        <v>139</v>
      </c>
      <c r="I41" s="21">
        <v>61.02</v>
      </c>
      <c r="J41" s="20" t="s">
        <v>247</v>
      </c>
      <c r="K41" s="20" t="s">
        <v>246</v>
      </c>
      <c r="L41" s="20" t="s">
        <v>248</v>
      </c>
      <c r="M41" s="20" t="s">
        <v>71</v>
      </c>
      <c r="N41" s="20" t="s">
        <v>249</v>
      </c>
      <c r="O41" s="20" t="s">
        <v>45</v>
      </c>
      <c r="P41" s="20" t="s">
        <v>250</v>
      </c>
      <c r="Q41" s="20" t="s">
        <v>114</v>
      </c>
    </row>
    <row r="42" ht="60.0" customHeight="1">
      <c r="A42" s="4" t="s">
        <v>36</v>
      </c>
      <c r="C42" s="20" t="s">
        <v>156</v>
      </c>
      <c r="D42" s="20" t="s">
        <v>55</v>
      </c>
      <c r="E42" s="20"/>
      <c r="F42" s="20" t="s">
        <v>251</v>
      </c>
      <c r="G42" s="20" t="s">
        <v>57</v>
      </c>
      <c r="H42" s="20" t="s">
        <v>58</v>
      </c>
      <c r="I42" s="21">
        <v>67.73</v>
      </c>
      <c r="J42" s="20" t="s">
        <v>252</v>
      </c>
      <c r="K42" s="20" t="s">
        <v>251</v>
      </c>
      <c r="L42" s="20" t="s">
        <v>253</v>
      </c>
      <c r="M42" s="20" t="s">
        <v>142</v>
      </c>
      <c r="N42" s="20" t="s">
        <v>143</v>
      </c>
      <c r="O42" s="20" t="s">
        <v>45</v>
      </c>
      <c r="P42" s="20" t="s">
        <v>254</v>
      </c>
      <c r="Q42" s="20" t="s">
        <v>114</v>
      </c>
    </row>
    <row r="43" ht="60.0" customHeight="1">
      <c r="A43" s="4" t="s">
        <v>36</v>
      </c>
      <c r="C43" s="17" t="s">
        <v>108</v>
      </c>
      <c r="D43" s="17" t="s">
        <v>55</v>
      </c>
      <c r="E43" s="17"/>
      <c r="F43" s="17" t="s">
        <v>157</v>
      </c>
      <c r="G43" s="17" t="s">
        <v>93</v>
      </c>
      <c r="H43" s="17" t="s">
        <v>94</v>
      </c>
      <c r="I43" s="18">
        <v>71.95</v>
      </c>
      <c r="J43" s="17" t="s">
        <v>255</v>
      </c>
      <c r="K43" s="17" t="s">
        <v>159</v>
      </c>
      <c r="L43" s="17" t="s">
        <v>86</v>
      </c>
      <c r="M43" s="17" t="s">
        <v>87</v>
      </c>
      <c r="N43" s="17" t="s">
        <v>88</v>
      </c>
      <c r="O43" s="17" t="s">
        <v>45</v>
      </c>
      <c r="P43" s="17" t="s">
        <v>256</v>
      </c>
      <c r="Q43" s="17" t="s">
        <v>90</v>
      </c>
    </row>
    <row r="44" ht="60.0" customHeight="1">
      <c r="A44" s="4" t="s">
        <v>36</v>
      </c>
      <c r="C44" s="17" t="s">
        <v>257</v>
      </c>
      <c r="D44" s="17" t="s">
        <v>55</v>
      </c>
      <c r="E44" s="17"/>
      <c r="F44" s="17" t="s">
        <v>258</v>
      </c>
      <c r="G44" s="17" t="s">
        <v>138</v>
      </c>
      <c r="H44" s="17" t="s">
        <v>139</v>
      </c>
      <c r="I44" s="18">
        <v>75.13</v>
      </c>
      <c r="J44" s="17" t="s">
        <v>259</v>
      </c>
      <c r="K44" s="17" t="s">
        <v>258</v>
      </c>
      <c r="L44" s="17" t="s">
        <v>260</v>
      </c>
      <c r="M44" s="17" t="s">
        <v>142</v>
      </c>
      <c r="N44" s="17" t="s">
        <v>143</v>
      </c>
      <c r="O44" s="17" t="s">
        <v>45</v>
      </c>
      <c r="P44" s="17" t="s">
        <v>261</v>
      </c>
      <c r="Q44" s="17" t="s">
        <v>122</v>
      </c>
    </row>
    <row r="45" ht="60.0" customHeight="1">
      <c r="A45" s="4" t="s">
        <v>36</v>
      </c>
      <c r="C45" s="20" t="s">
        <v>262</v>
      </c>
      <c r="D45" s="20" t="s">
        <v>55</v>
      </c>
      <c r="E45" s="20"/>
      <c r="F45" s="20" t="s">
        <v>263</v>
      </c>
      <c r="G45" s="20" t="s">
        <v>138</v>
      </c>
      <c r="H45" s="20" t="s">
        <v>139</v>
      </c>
      <c r="I45" s="21">
        <v>76.89</v>
      </c>
      <c r="J45" s="20" t="s">
        <v>264</v>
      </c>
      <c r="K45" s="20" t="s">
        <v>263</v>
      </c>
      <c r="L45" s="20" t="s">
        <v>265</v>
      </c>
      <c r="M45" s="20" t="s">
        <v>142</v>
      </c>
      <c r="N45" s="20" t="s">
        <v>166</v>
      </c>
      <c r="O45" s="20" t="s">
        <v>45</v>
      </c>
      <c r="P45" s="20" t="s">
        <v>266</v>
      </c>
      <c r="Q45" s="20" t="s">
        <v>114</v>
      </c>
    </row>
    <row r="46" ht="60.0" customHeight="1">
      <c r="A46" s="4" t="s">
        <v>36</v>
      </c>
      <c r="C46" s="17" t="s">
        <v>75</v>
      </c>
      <c r="D46" s="17" t="s">
        <v>55</v>
      </c>
      <c r="E46" s="17"/>
      <c r="F46" s="17" t="s">
        <v>228</v>
      </c>
      <c r="G46" s="17" t="s">
        <v>149</v>
      </c>
      <c r="H46" s="17" t="s">
        <v>150</v>
      </c>
      <c r="I46" s="18">
        <v>79.2</v>
      </c>
      <c r="J46" s="17" t="s">
        <v>267</v>
      </c>
      <c r="K46" s="17" t="s">
        <v>228</v>
      </c>
      <c r="L46" s="17" t="s">
        <v>230</v>
      </c>
      <c r="M46" s="17" t="s">
        <v>119</v>
      </c>
      <c r="N46" s="17" t="s">
        <v>231</v>
      </c>
      <c r="O46" s="17" t="s">
        <v>45</v>
      </c>
      <c r="P46" s="17" t="s">
        <v>268</v>
      </c>
      <c r="Q46" s="17" t="s">
        <v>64</v>
      </c>
    </row>
    <row r="47" ht="60.0" customHeight="1">
      <c r="A47" s="4" t="s">
        <v>36</v>
      </c>
      <c r="C47" s="17" t="s">
        <v>196</v>
      </c>
      <c r="D47" s="17" t="s">
        <v>55</v>
      </c>
      <c r="E47" s="17"/>
      <c r="F47" s="17" t="s">
        <v>84</v>
      </c>
      <c r="G47" s="17" t="s">
        <v>39</v>
      </c>
      <c r="H47" s="17" t="s">
        <v>40</v>
      </c>
      <c r="I47" s="18">
        <v>83.89</v>
      </c>
      <c r="J47" s="17" t="s">
        <v>269</v>
      </c>
      <c r="K47" s="17" t="s">
        <v>84</v>
      </c>
      <c r="L47" s="17" t="s">
        <v>86</v>
      </c>
      <c r="M47" s="17" t="s">
        <v>87</v>
      </c>
      <c r="N47" s="17" t="s">
        <v>88</v>
      </c>
      <c r="O47" s="17" t="s">
        <v>45</v>
      </c>
      <c r="P47" s="17" t="s">
        <v>270</v>
      </c>
      <c r="Q47" s="17" t="s">
        <v>90</v>
      </c>
    </row>
    <row r="48" ht="60.0" customHeight="1">
      <c r="A48" s="4" t="s">
        <v>36</v>
      </c>
      <c r="C48" s="17" t="s">
        <v>100</v>
      </c>
      <c r="D48" s="17" t="s">
        <v>55</v>
      </c>
      <c r="E48" s="17"/>
      <c r="F48" s="17" t="s">
        <v>271</v>
      </c>
      <c r="G48" s="17" t="s">
        <v>57</v>
      </c>
      <c r="H48" s="17" t="s">
        <v>58</v>
      </c>
      <c r="I48" s="18">
        <v>89.84</v>
      </c>
      <c r="J48" s="17" t="s">
        <v>272</v>
      </c>
      <c r="K48" s="17" t="s">
        <v>271</v>
      </c>
      <c r="L48" s="17" t="s">
        <v>273</v>
      </c>
      <c r="M48" s="17" t="s">
        <v>142</v>
      </c>
      <c r="N48" s="17" t="s">
        <v>274</v>
      </c>
      <c r="O48" s="17" t="s">
        <v>45</v>
      </c>
      <c r="P48" s="17" t="s">
        <v>275</v>
      </c>
      <c r="Q48" s="17" t="s">
        <v>122</v>
      </c>
    </row>
    <row r="49" ht="60.0" customHeight="1">
      <c r="A49" s="4" t="s">
        <v>36</v>
      </c>
      <c r="C49" s="17" t="s">
        <v>276</v>
      </c>
      <c r="D49" s="17" t="s">
        <v>55</v>
      </c>
      <c r="E49" s="17"/>
      <c r="F49" s="17" t="s">
        <v>277</v>
      </c>
      <c r="G49" s="17" t="s">
        <v>93</v>
      </c>
      <c r="H49" s="17" t="s">
        <v>94</v>
      </c>
      <c r="I49" s="18">
        <v>94.16</v>
      </c>
      <c r="J49" s="17" t="s">
        <v>278</v>
      </c>
      <c r="K49" s="17" t="s">
        <v>277</v>
      </c>
      <c r="L49" s="17" t="s">
        <v>279</v>
      </c>
      <c r="M49" s="17" t="s">
        <v>280</v>
      </c>
      <c r="N49" s="17" t="s">
        <v>281</v>
      </c>
      <c r="O49" s="17" t="s">
        <v>45</v>
      </c>
      <c r="P49" s="17" t="s">
        <v>282</v>
      </c>
      <c r="Q49" s="17" t="s">
        <v>64</v>
      </c>
    </row>
    <row r="50" ht="60.0" customHeight="1">
      <c r="A50" s="4" t="s">
        <v>36</v>
      </c>
      <c r="C50" s="17" t="s">
        <v>262</v>
      </c>
      <c r="D50" s="17" t="s">
        <v>55</v>
      </c>
      <c r="E50" s="17"/>
      <c r="F50" s="17" t="s">
        <v>283</v>
      </c>
      <c r="G50" s="17" t="s">
        <v>93</v>
      </c>
      <c r="H50" s="17" t="s">
        <v>94</v>
      </c>
      <c r="I50" s="18">
        <v>96.72</v>
      </c>
      <c r="J50" s="17" t="s">
        <v>284</v>
      </c>
      <c r="K50" s="17" t="s">
        <v>283</v>
      </c>
      <c r="L50" s="17" t="s">
        <v>285</v>
      </c>
      <c r="M50" s="17" t="s">
        <v>71</v>
      </c>
      <c r="N50" s="17" t="s">
        <v>249</v>
      </c>
      <c r="O50" s="17" t="s">
        <v>45</v>
      </c>
      <c r="P50" s="17" t="s">
        <v>286</v>
      </c>
      <c r="Q50" s="17" t="s">
        <v>287</v>
      </c>
    </row>
    <row r="51" ht="60.0" customHeight="1">
      <c r="A51" s="4" t="s">
        <v>36</v>
      </c>
      <c r="C51" s="17" t="s">
        <v>131</v>
      </c>
      <c r="D51" s="17" t="s">
        <v>55</v>
      </c>
      <c r="E51" s="17"/>
      <c r="F51" s="17" t="s">
        <v>228</v>
      </c>
      <c r="G51" s="17" t="s">
        <v>57</v>
      </c>
      <c r="H51" s="17" t="s">
        <v>58</v>
      </c>
      <c r="I51" s="18">
        <v>98.77</v>
      </c>
      <c r="J51" s="17" t="s">
        <v>288</v>
      </c>
      <c r="K51" s="17" t="s">
        <v>228</v>
      </c>
      <c r="L51" s="17" t="s">
        <v>230</v>
      </c>
      <c r="M51" s="17" t="s">
        <v>119</v>
      </c>
      <c r="N51" s="17" t="s">
        <v>231</v>
      </c>
      <c r="O51" s="17" t="s">
        <v>45</v>
      </c>
      <c r="P51" s="17" t="s">
        <v>289</v>
      </c>
      <c r="Q51" s="17" t="s">
        <v>64</v>
      </c>
    </row>
    <row r="52" ht="60.0" customHeight="1">
      <c r="A52" s="4" t="s">
        <v>36</v>
      </c>
      <c r="C52" s="20" t="s">
        <v>290</v>
      </c>
      <c r="D52" s="20" t="s">
        <v>55</v>
      </c>
      <c r="E52" s="20"/>
      <c r="F52" s="20" t="s">
        <v>291</v>
      </c>
      <c r="G52" s="20" t="s">
        <v>93</v>
      </c>
      <c r="H52" s="20" t="s">
        <v>94</v>
      </c>
      <c r="I52" s="21">
        <v>99.9</v>
      </c>
      <c r="J52" s="20" t="s">
        <v>292</v>
      </c>
      <c r="K52" s="20" t="s">
        <v>291</v>
      </c>
      <c r="L52" s="20" t="s">
        <v>293</v>
      </c>
      <c r="M52" s="20" t="s">
        <v>142</v>
      </c>
      <c r="N52" s="20" t="s">
        <v>143</v>
      </c>
      <c r="O52" s="20" t="s">
        <v>45</v>
      </c>
      <c r="P52" s="20" t="s">
        <v>294</v>
      </c>
      <c r="Q52" s="20" t="s">
        <v>122</v>
      </c>
    </row>
    <row r="53" ht="60.0" customHeight="1">
      <c r="A53" s="4" t="s">
        <v>36</v>
      </c>
      <c r="C53" s="17" t="s">
        <v>290</v>
      </c>
      <c r="D53" s="17" t="s">
        <v>55</v>
      </c>
      <c r="E53" s="17"/>
      <c r="F53" s="17" t="s">
        <v>295</v>
      </c>
      <c r="G53" s="17" t="s">
        <v>93</v>
      </c>
      <c r="H53" s="17" t="s">
        <v>94</v>
      </c>
      <c r="I53" s="18">
        <v>100.0</v>
      </c>
      <c r="J53" s="17" t="s">
        <v>296</v>
      </c>
      <c r="K53" s="17" t="s">
        <v>295</v>
      </c>
      <c r="L53" s="17" t="s">
        <v>297</v>
      </c>
      <c r="M53" s="17" t="s">
        <v>119</v>
      </c>
      <c r="N53" s="17" t="s">
        <v>298</v>
      </c>
      <c r="O53" s="17" t="s">
        <v>45</v>
      </c>
      <c r="P53" s="17" t="s">
        <v>299</v>
      </c>
      <c r="Q53" s="17" t="s">
        <v>300</v>
      </c>
    </row>
    <row r="54" ht="60.0" customHeight="1">
      <c r="A54" s="4" t="s">
        <v>36</v>
      </c>
      <c r="C54" s="17" t="s">
        <v>301</v>
      </c>
      <c r="D54" s="17" t="s">
        <v>55</v>
      </c>
      <c r="E54" s="17"/>
      <c r="F54" s="17" t="s">
        <v>302</v>
      </c>
      <c r="G54" s="17" t="s">
        <v>149</v>
      </c>
      <c r="H54" s="17" t="s">
        <v>150</v>
      </c>
      <c r="I54" s="18">
        <v>100.17</v>
      </c>
      <c r="J54" s="17" t="s">
        <v>303</v>
      </c>
      <c r="K54" s="17" t="s">
        <v>302</v>
      </c>
      <c r="L54" s="17" t="s">
        <v>304</v>
      </c>
      <c r="M54" s="17" t="s">
        <v>305</v>
      </c>
      <c r="N54" s="17" t="s">
        <v>306</v>
      </c>
      <c r="O54" s="17" t="s">
        <v>45</v>
      </c>
      <c r="P54" s="17" t="s">
        <v>307</v>
      </c>
      <c r="Q54" s="17" t="s">
        <v>308</v>
      </c>
    </row>
    <row r="55" ht="60.0" customHeight="1">
      <c r="A55" s="4" t="s">
        <v>36</v>
      </c>
      <c r="C55" s="17" t="s">
        <v>91</v>
      </c>
      <c r="D55" s="17" t="s">
        <v>55</v>
      </c>
      <c r="E55" s="17"/>
      <c r="F55" s="17" t="s">
        <v>92</v>
      </c>
      <c r="G55" s="17" t="s">
        <v>93</v>
      </c>
      <c r="H55" s="17" t="s">
        <v>94</v>
      </c>
      <c r="I55" s="18">
        <v>105.91</v>
      </c>
      <c r="J55" s="17" t="s">
        <v>309</v>
      </c>
      <c r="K55" s="17" t="s">
        <v>92</v>
      </c>
      <c r="L55" s="17" t="s">
        <v>96</v>
      </c>
      <c r="M55" s="17" t="s">
        <v>97</v>
      </c>
      <c r="N55" s="17" t="s">
        <v>98</v>
      </c>
      <c r="O55" s="17" t="s">
        <v>45</v>
      </c>
      <c r="P55" s="17" t="s">
        <v>310</v>
      </c>
      <c r="Q55" s="17" t="s">
        <v>64</v>
      </c>
    </row>
    <row r="56" ht="60.0" customHeight="1">
      <c r="A56" s="4" t="s">
        <v>36</v>
      </c>
      <c r="C56" s="20" t="s">
        <v>257</v>
      </c>
      <c r="D56" s="20" t="s">
        <v>55</v>
      </c>
      <c r="E56" s="20"/>
      <c r="F56" s="20" t="s">
        <v>311</v>
      </c>
      <c r="G56" s="20" t="s">
        <v>67</v>
      </c>
      <c r="H56" s="20" t="s">
        <v>68</v>
      </c>
      <c r="I56" s="21">
        <v>108.0</v>
      </c>
      <c r="J56" s="20" t="s">
        <v>312</v>
      </c>
      <c r="K56" s="20" t="s">
        <v>311</v>
      </c>
      <c r="L56" s="20" t="s">
        <v>313</v>
      </c>
      <c r="M56" s="20" t="s">
        <v>314</v>
      </c>
      <c r="N56" s="20" t="s">
        <v>315</v>
      </c>
      <c r="O56" s="20" t="s">
        <v>45</v>
      </c>
      <c r="P56" s="20" t="s">
        <v>316</v>
      </c>
      <c r="Q56" s="20" t="s">
        <v>82</v>
      </c>
    </row>
    <row r="57" ht="60.0" customHeight="1">
      <c r="A57" s="22" t="s">
        <v>36</v>
      </c>
      <c r="B57" s="22"/>
      <c r="C57" s="17" t="s">
        <v>75</v>
      </c>
      <c r="D57" s="17" t="s">
        <v>55</v>
      </c>
      <c r="E57" s="17"/>
      <c r="F57" s="17" t="s">
        <v>317</v>
      </c>
      <c r="G57" s="17" t="s">
        <v>57</v>
      </c>
      <c r="H57" s="17" t="s">
        <v>58</v>
      </c>
      <c r="I57" s="18">
        <v>108.63</v>
      </c>
      <c r="J57" s="17" t="s">
        <v>318</v>
      </c>
      <c r="K57" s="17" t="s">
        <v>317</v>
      </c>
      <c r="L57" s="17" t="s">
        <v>319</v>
      </c>
      <c r="M57" s="17" t="s">
        <v>320</v>
      </c>
      <c r="N57" s="17" t="s">
        <v>321</v>
      </c>
      <c r="O57" s="17" t="s">
        <v>45</v>
      </c>
      <c r="P57" s="17" t="s">
        <v>322</v>
      </c>
      <c r="Q57" s="17" t="s">
        <v>182</v>
      </c>
    </row>
    <row r="58" ht="60.0" customHeight="1">
      <c r="A58" s="22" t="s">
        <v>36</v>
      </c>
      <c r="B58" s="22"/>
      <c r="C58" s="17" t="s">
        <v>239</v>
      </c>
      <c r="D58" s="17" t="s">
        <v>55</v>
      </c>
      <c r="E58" s="17"/>
      <c r="F58" s="17" t="s">
        <v>323</v>
      </c>
      <c r="G58" s="17" t="s">
        <v>39</v>
      </c>
      <c r="H58" s="17" t="s">
        <v>40</v>
      </c>
      <c r="I58" s="18">
        <v>109.65</v>
      </c>
      <c r="J58" s="17" t="s">
        <v>324</v>
      </c>
      <c r="K58" s="17" t="s">
        <v>323</v>
      </c>
      <c r="L58" s="17" t="s">
        <v>325</v>
      </c>
      <c r="M58" s="17" t="s">
        <v>326</v>
      </c>
      <c r="N58" s="17" t="s">
        <v>327</v>
      </c>
      <c r="O58" s="17" t="s">
        <v>45</v>
      </c>
      <c r="P58" s="17" t="s">
        <v>328</v>
      </c>
      <c r="Q58" s="17" t="s">
        <v>308</v>
      </c>
    </row>
    <row r="59" ht="60.0" customHeight="1">
      <c r="A59" s="22" t="s">
        <v>36</v>
      </c>
      <c r="B59" s="22"/>
      <c r="C59" s="20" t="s">
        <v>239</v>
      </c>
      <c r="D59" s="20" t="s">
        <v>55</v>
      </c>
      <c r="E59" s="20"/>
      <c r="F59" s="20" t="s">
        <v>323</v>
      </c>
      <c r="G59" s="20" t="s">
        <v>39</v>
      </c>
      <c r="H59" s="20" t="s">
        <v>40</v>
      </c>
      <c r="I59" s="21">
        <v>109.65</v>
      </c>
      <c r="J59" s="20" t="s">
        <v>324</v>
      </c>
      <c r="K59" s="20" t="s">
        <v>323</v>
      </c>
      <c r="L59" s="20" t="s">
        <v>325</v>
      </c>
      <c r="M59" s="20" t="s">
        <v>326</v>
      </c>
      <c r="N59" s="20" t="s">
        <v>327</v>
      </c>
      <c r="O59" s="20" t="s">
        <v>45</v>
      </c>
      <c r="P59" s="20" t="s">
        <v>329</v>
      </c>
      <c r="Q59" s="20" t="s">
        <v>308</v>
      </c>
    </row>
    <row r="60" ht="60.0" customHeight="1">
      <c r="A60" s="22" t="s">
        <v>36</v>
      </c>
      <c r="B60" s="22"/>
      <c r="C60" s="17" t="s">
        <v>239</v>
      </c>
      <c r="D60" s="17" t="s">
        <v>55</v>
      </c>
      <c r="E60" s="17"/>
      <c r="F60" s="17" t="s">
        <v>323</v>
      </c>
      <c r="G60" s="17" t="s">
        <v>39</v>
      </c>
      <c r="H60" s="17" t="s">
        <v>40</v>
      </c>
      <c r="I60" s="18">
        <v>109.65</v>
      </c>
      <c r="J60" s="17" t="s">
        <v>324</v>
      </c>
      <c r="K60" s="17" t="s">
        <v>323</v>
      </c>
      <c r="L60" s="17" t="s">
        <v>325</v>
      </c>
      <c r="M60" s="17" t="s">
        <v>326</v>
      </c>
      <c r="N60" s="17" t="s">
        <v>327</v>
      </c>
      <c r="O60" s="17" t="s">
        <v>45</v>
      </c>
      <c r="P60" s="17" t="s">
        <v>330</v>
      </c>
      <c r="Q60" s="17" t="s">
        <v>308</v>
      </c>
    </row>
    <row r="61" ht="60.0" customHeight="1">
      <c r="A61" s="22" t="s">
        <v>36</v>
      </c>
      <c r="B61" s="22"/>
      <c r="C61" s="20" t="s">
        <v>239</v>
      </c>
      <c r="D61" s="20" t="s">
        <v>55</v>
      </c>
      <c r="E61" s="20"/>
      <c r="F61" s="20" t="s">
        <v>323</v>
      </c>
      <c r="G61" s="20" t="s">
        <v>39</v>
      </c>
      <c r="H61" s="20" t="s">
        <v>40</v>
      </c>
      <c r="I61" s="21">
        <v>109.65</v>
      </c>
      <c r="J61" s="20" t="s">
        <v>324</v>
      </c>
      <c r="K61" s="20" t="s">
        <v>323</v>
      </c>
      <c r="L61" s="20" t="s">
        <v>325</v>
      </c>
      <c r="M61" s="20" t="s">
        <v>326</v>
      </c>
      <c r="N61" s="20" t="s">
        <v>327</v>
      </c>
      <c r="O61" s="20" t="s">
        <v>45</v>
      </c>
      <c r="P61" s="20" t="s">
        <v>331</v>
      </c>
      <c r="Q61" s="20" t="s">
        <v>308</v>
      </c>
    </row>
    <row r="62" ht="60.0" customHeight="1">
      <c r="A62" s="22" t="s">
        <v>36</v>
      </c>
      <c r="B62" s="22"/>
      <c r="C62" s="17" t="s">
        <v>239</v>
      </c>
      <c r="D62" s="17" t="s">
        <v>55</v>
      </c>
      <c r="E62" s="17"/>
      <c r="F62" s="17" t="s">
        <v>323</v>
      </c>
      <c r="G62" s="17" t="s">
        <v>39</v>
      </c>
      <c r="H62" s="17" t="s">
        <v>40</v>
      </c>
      <c r="I62" s="18">
        <v>109.65</v>
      </c>
      <c r="J62" s="17" t="s">
        <v>324</v>
      </c>
      <c r="K62" s="17" t="s">
        <v>323</v>
      </c>
      <c r="L62" s="17" t="s">
        <v>325</v>
      </c>
      <c r="M62" s="17" t="s">
        <v>326</v>
      </c>
      <c r="N62" s="17" t="s">
        <v>327</v>
      </c>
      <c r="O62" s="17" t="s">
        <v>45</v>
      </c>
      <c r="P62" s="17" t="s">
        <v>332</v>
      </c>
      <c r="Q62" s="17" t="s">
        <v>308</v>
      </c>
    </row>
    <row r="63" ht="60.0" customHeight="1">
      <c r="A63" s="22" t="s">
        <v>36</v>
      </c>
      <c r="B63" s="22"/>
      <c r="C63" s="20" t="s">
        <v>239</v>
      </c>
      <c r="D63" s="20" t="s">
        <v>55</v>
      </c>
      <c r="E63" s="20"/>
      <c r="F63" s="20" t="s">
        <v>323</v>
      </c>
      <c r="G63" s="20" t="s">
        <v>39</v>
      </c>
      <c r="H63" s="20" t="s">
        <v>40</v>
      </c>
      <c r="I63" s="21">
        <v>109.65</v>
      </c>
      <c r="J63" s="20" t="s">
        <v>324</v>
      </c>
      <c r="K63" s="20" t="s">
        <v>323</v>
      </c>
      <c r="L63" s="20" t="s">
        <v>325</v>
      </c>
      <c r="M63" s="20" t="s">
        <v>326</v>
      </c>
      <c r="N63" s="20" t="s">
        <v>327</v>
      </c>
      <c r="O63" s="20" t="s">
        <v>45</v>
      </c>
      <c r="P63" s="20" t="s">
        <v>333</v>
      </c>
      <c r="Q63" s="20" t="s">
        <v>308</v>
      </c>
    </row>
    <row r="64" ht="60.0" customHeight="1">
      <c r="A64" s="4" t="s">
        <v>36</v>
      </c>
      <c r="C64" s="20" t="s">
        <v>83</v>
      </c>
      <c r="D64" s="20" t="s">
        <v>55</v>
      </c>
      <c r="E64" s="20"/>
      <c r="F64" s="20" t="s">
        <v>92</v>
      </c>
      <c r="G64" s="20" t="s">
        <v>138</v>
      </c>
      <c r="H64" s="20" t="s">
        <v>139</v>
      </c>
      <c r="I64" s="21">
        <v>116.73</v>
      </c>
      <c r="J64" s="20" t="s">
        <v>334</v>
      </c>
      <c r="K64" s="20" t="s">
        <v>92</v>
      </c>
      <c r="L64" s="20" t="s">
        <v>208</v>
      </c>
      <c r="M64" s="20" t="s">
        <v>97</v>
      </c>
      <c r="N64" s="20" t="s">
        <v>98</v>
      </c>
      <c r="O64" s="20" t="s">
        <v>45</v>
      </c>
      <c r="P64" s="20" t="s">
        <v>335</v>
      </c>
      <c r="Q64" s="20" t="s">
        <v>64</v>
      </c>
    </row>
    <row r="65" ht="60.0" customHeight="1">
      <c r="A65" s="4" t="s">
        <v>36</v>
      </c>
      <c r="C65" s="20" t="s">
        <v>131</v>
      </c>
      <c r="D65" s="20" t="s">
        <v>55</v>
      </c>
      <c r="E65" s="20"/>
      <c r="F65" s="20" t="s">
        <v>66</v>
      </c>
      <c r="G65" s="20" t="s">
        <v>67</v>
      </c>
      <c r="H65" s="20" t="s">
        <v>68</v>
      </c>
      <c r="I65" s="21">
        <v>117.91</v>
      </c>
      <c r="J65" s="20" t="s">
        <v>336</v>
      </c>
      <c r="K65" s="20" t="s">
        <v>66</v>
      </c>
      <c r="L65" s="20" t="s">
        <v>70</v>
      </c>
      <c r="M65" s="20" t="s">
        <v>71</v>
      </c>
      <c r="N65" s="20" t="s">
        <v>72</v>
      </c>
      <c r="O65" s="20" t="s">
        <v>45</v>
      </c>
      <c r="P65" s="20" t="s">
        <v>337</v>
      </c>
      <c r="Q65" s="20" t="s">
        <v>74</v>
      </c>
    </row>
    <row r="66" ht="60.0" customHeight="1">
      <c r="A66" s="22" t="s">
        <v>168</v>
      </c>
      <c r="B66" s="22"/>
      <c r="C66" s="20" t="s">
        <v>108</v>
      </c>
      <c r="D66" s="20" t="s">
        <v>55</v>
      </c>
      <c r="E66" s="20"/>
      <c r="F66" s="20" t="s">
        <v>92</v>
      </c>
      <c r="G66" s="20" t="s">
        <v>138</v>
      </c>
      <c r="H66" s="20" t="s">
        <v>139</v>
      </c>
      <c r="I66" s="21">
        <v>118.35</v>
      </c>
      <c r="J66" s="20" t="s">
        <v>338</v>
      </c>
      <c r="K66" s="20" t="s">
        <v>92</v>
      </c>
      <c r="L66" s="20" t="s">
        <v>208</v>
      </c>
      <c r="M66" s="20" t="s">
        <v>97</v>
      </c>
      <c r="N66" s="20" t="s">
        <v>98</v>
      </c>
      <c r="O66" s="20" t="s">
        <v>45</v>
      </c>
      <c r="P66" s="20" t="s">
        <v>339</v>
      </c>
      <c r="Q66" s="20" t="s">
        <v>64</v>
      </c>
    </row>
    <row r="67" ht="60.0" customHeight="1">
      <c r="A67" s="4" t="s">
        <v>168</v>
      </c>
      <c r="C67" s="17" t="s">
        <v>65</v>
      </c>
      <c r="D67" s="17" t="s">
        <v>55</v>
      </c>
      <c r="E67" s="17"/>
      <c r="F67" s="17" t="s">
        <v>157</v>
      </c>
      <c r="G67" s="17" t="s">
        <v>93</v>
      </c>
      <c r="H67" s="17" t="s">
        <v>94</v>
      </c>
      <c r="I67" s="18">
        <v>122.05</v>
      </c>
      <c r="J67" s="17" t="s">
        <v>340</v>
      </c>
      <c r="K67" s="17" t="s">
        <v>159</v>
      </c>
      <c r="L67" s="17" t="s">
        <v>86</v>
      </c>
      <c r="M67" s="17" t="s">
        <v>87</v>
      </c>
      <c r="N67" s="17" t="s">
        <v>88</v>
      </c>
      <c r="O67" s="17" t="s">
        <v>45</v>
      </c>
      <c r="P67" s="17" t="s">
        <v>341</v>
      </c>
      <c r="Q67" s="17" t="s">
        <v>90</v>
      </c>
    </row>
    <row r="68" ht="60.0" customHeight="1">
      <c r="A68" s="4" t="s">
        <v>36</v>
      </c>
      <c r="C68" s="20" t="s">
        <v>131</v>
      </c>
      <c r="D68" s="20" t="s">
        <v>55</v>
      </c>
      <c r="E68" s="20"/>
      <c r="F68" s="20" t="s">
        <v>56</v>
      </c>
      <c r="G68" s="20" t="s">
        <v>93</v>
      </c>
      <c r="H68" s="20" t="s">
        <v>94</v>
      </c>
      <c r="I68" s="21">
        <v>125.0</v>
      </c>
      <c r="J68" s="20" t="s">
        <v>342</v>
      </c>
      <c r="K68" s="20" t="s">
        <v>56</v>
      </c>
      <c r="L68" s="20" t="s">
        <v>60</v>
      </c>
      <c r="M68" s="20" t="s">
        <v>61</v>
      </c>
      <c r="N68" s="20" t="s">
        <v>62</v>
      </c>
      <c r="O68" s="20" t="s">
        <v>45</v>
      </c>
      <c r="P68" s="20" t="s">
        <v>343</v>
      </c>
      <c r="Q68" s="20" t="s">
        <v>64</v>
      </c>
    </row>
    <row r="69" ht="60.0" customHeight="1">
      <c r="A69" s="4" t="s">
        <v>168</v>
      </c>
      <c r="C69" s="20" t="s">
        <v>276</v>
      </c>
      <c r="D69" s="20" t="s">
        <v>55</v>
      </c>
      <c r="E69" s="20"/>
      <c r="F69" s="20" t="s">
        <v>344</v>
      </c>
      <c r="G69" s="20" t="s">
        <v>57</v>
      </c>
      <c r="H69" s="20" t="s">
        <v>58</v>
      </c>
      <c r="I69" s="21">
        <v>125.68</v>
      </c>
      <c r="J69" s="20" t="s">
        <v>345</v>
      </c>
      <c r="K69" s="20" t="s">
        <v>344</v>
      </c>
      <c r="L69" s="20" t="s">
        <v>346</v>
      </c>
      <c r="M69" s="20" t="s">
        <v>142</v>
      </c>
      <c r="N69" s="20" t="s">
        <v>180</v>
      </c>
      <c r="O69" s="20" t="s">
        <v>45</v>
      </c>
      <c r="P69" s="20" t="s">
        <v>347</v>
      </c>
      <c r="Q69" s="20" t="s">
        <v>114</v>
      </c>
    </row>
    <row r="70" ht="60.0" customHeight="1">
      <c r="A70" s="4" t="s">
        <v>168</v>
      </c>
      <c r="C70" s="17" t="s">
        <v>131</v>
      </c>
      <c r="D70" s="17" t="s">
        <v>55</v>
      </c>
      <c r="E70" s="17"/>
      <c r="F70" s="17" t="s">
        <v>348</v>
      </c>
      <c r="G70" s="17" t="s">
        <v>57</v>
      </c>
      <c r="H70" s="17" t="s">
        <v>58</v>
      </c>
      <c r="I70" s="18">
        <v>134.2</v>
      </c>
      <c r="J70" s="17" t="s">
        <v>349</v>
      </c>
      <c r="K70" s="17" t="s">
        <v>348</v>
      </c>
      <c r="L70" s="17" t="s">
        <v>350</v>
      </c>
      <c r="M70" s="17" t="s">
        <v>119</v>
      </c>
      <c r="N70" s="17" t="s">
        <v>120</v>
      </c>
      <c r="O70" s="17" t="s">
        <v>45</v>
      </c>
      <c r="P70" s="17" t="s">
        <v>351</v>
      </c>
      <c r="Q70" s="17" t="s">
        <v>64</v>
      </c>
    </row>
    <row r="71" ht="60.0" customHeight="1">
      <c r="A71" s="22" t="s">
        <v>168</v>
      </c>
      <c r="B71" s="22"/>
      <c r="C71" s="20" t="s">
        <v>131</v>
      </c>
      <c r="D71" s="20" t="s">
        <v>55</v>
      </c>
      <c r="E71" s="20"/>
      <c r="F71" s="20" t="s">
        <v>352</v>
      </c>
      <c r="G71" s="20" t="s">
        <v>353</v>
      </c>
      <c r="H71" s="20" t="s">
        <v>354</v>
      </c>
      <c r="I71" s="21">
        <v>137.79</v>
      </c>
      <c r="J71" s="20" t="s">
        <v>355</v>
      </c>
      <c r="K71" s="20" t="s">
        <v>352</v>
      </c>
      <c r="L71" s="20" t="s">
        <v>356</v>
      </c>
      <c r="M71" s="20" t="s">
        <v>357</v>
      </c>
      <c r="N71" s="20" t="s">
        <v>358</v>
      </c>
      <c r="O71" s="20" t="s">
        <v>45</v>
      </c>
      <c r="P71" s="20" t="s">
        <v>359</v>
      </c>
      <c r="Q71" s="20" t="s">
        <v>90</v>
      </c>
    </row>
    <row r="72" ht="60.0" customHeight="1">
      <c r="A72" s="22" t="s">
        <v>168</v>
      </c>
      <c r="B72" s="22"/>
      <c r="C72" s="20" t="s">
        <v>54</v>
      </c>
      <c r="D72" s="20" t="s">
        <v>55</v>
      </c>
      <c r="E72" s="20"/>
      <c r="F72" s="20" t="s">
        <v>360</v>
      </c>
      <c r="G72" s="20" t="s">
        <v>57</v>
      </c>
      <c r="H72" s="20" t="s">
        <v>58</v>
      </c>
      <c r="I72" s="21">
        <v>140.59</v>
      </c>
      <c r="J72" s="20" t="s">
        <v>361</v>
      </c>
      <c r="K72" s="20" t="s">
        <v>360</v>
      </c>
      <c r="L72" s="20" t="s">
        <v>60</v>
      </c>
      <c r="M72" s="20" t="s">
        <v>61</v>
      </c>
      <c r="N72" s="20" t="s">
        <v>62</v>
      </c>
      <c r="O72" s="20" t="s">
        <v>45</v>
      </c>
      <c r="P72" s="20" t="s">
        <v>362</v>
      </c>
      <c r="Q72" s="20" t="s">
        <v>64</v>
      </c>
    </row>
    <row r="73" ht="60.0" customHeight="1">
      <c r="A73" s="22" t="s">
        <v>168</v>
      </c>
      <c r="B73" s="22"/>
      <c r="C73" s="17" t="s">
        <v>108</v>
      </c>
      <c r="D73" s="17" t="s">
        <v>55</v>
      </c>
      <c r="E73" s="17"/>
      <c r="F73" s="17" t="s">
        <v>92</v>
      </c>
      <c r="G73" s="17" t="s">
        <v>93</v>
      </c>
      <c r="H73" s="17" t="s">
        <v>94</v>
      </c>
      <c r="I73" s="18">
        <v>141.94</v>
      </c>
      <c r="J73" s="17" t="s">
        <v>363</v>
      </c>
      <c r="K73" s="17" t="s">
        <v>92</v>
      </c>
      <c r="L73" s="17" t="s">
        <v>208</v>
      </c>
      <c r="M73" s="17" t="s">
        <v>97</v>
      </c>
      <c r="N73" s="17" t="s">
        <v>98</v>
      </c>
      <c r="O73" s="17" t="s">
        <v>45</v>
      </c>
      <c r="P73" s="17" t="s">
        <v>364</v>
      </c>
      <c r="Q73" s="17" t="s">
        <v>64</v>
      </c>
    </row>
    <row r="74" ht="60.0" customHeight="1">
      <c r="A74" s="4" t="s">
        <v>168</v>
      </c>
      <c r="C74" s="17" t="s">
        <v>147</v>
      </c>
      <c r="D74" s="17" t="s">
        <v>55</v>
      </c>
      <c r="E74" s="17"/>
      <c r="F74" s="17" t="s">
        <v>236</v>
      </c>
      <c r="G74" s="17" t="s">
        <v>57</v>
      </c>
      <c r="H74" s="17" t="s">
        <v>58</v>
      </c>
      <c r="I74" s="18">
        <v>149.0</v>
      </c>
      <c r="J74" s="17" t="s">
        <v>365</v>
      </c>
      <c r="K74" s="17" t="s">
        <v>236</v>
      </c>
      <c r="L74" s="17" t="s">
        <v>152</v>
      </c>
      <c r="M74" s="17" t="s">
        <v>153</v>
      </c>
      <c r="N74" s="17" t="s">
        <v>154</v>
      </c>
      <c r="O74" s="17" t="s">
        <v>45</v>
      </c>
      <c r="P74" s="17" t="s">
        <v>366</v>
      </c>
      <c r="Q74" s="17" t="s">
        <v>64</v>
      </c>
    </row>
    <row r="75" ht="60.0" customHeight="1">
      <c r="A75" s="4" t="s">
        <v>168</v>
      </c>
      <c r="C75" s="17" t="s">
        <v>367</v>
      </c>
      <c r="D75" s="17" t="s">
        <v>55</v>
      </c>
      <c r="E75" s="17"/>
      <c r="F75" s="17" t="s">
        <v>368</v>
      </c>
      <c r="G75" s="17" t="s">
        <v>39</v>
      </c>
      <c r="H75" s="17" t="s">
        <v>40</v>
      </c>
      <c r="I75" s="18">
        <v>152.61</v>
      </c>
      <c r="J75" s="17" t="s">
        <v>369</v>
      </c>
      <c r="K75" s="17" t="s">
        <v>368</v>
      </c>
      <c r="L75" s="17" t="s">
        <v>370</v>
      </c>
      <c r="M75" s="17" t="s">
        <v>371</v>
      </c>
      <c r="N75" s="17" t="s">
        <v>372</v>
      </c>
      <c r="O75" s="17" t="s">
        <v>45</v>
      </c>
      <c r="P75" s="17" t="s">
        <v>373</v>
      </c>
      <c r="Q75" s="17" t="s">
        <v>182</v>
      </c>
    </row>
    <row r="76" ht="60.0" customHeight="1">
      <c r="A76" s="4" t="s">
        <v>168</v>
      </c>
      <c r="C76" s="20" t="s">
        <v>196</v>
      </c>
      <c r="D76" s="20" t="s">
        <v>55</v>
      </c>
      <c r="E76" s="20"/>
      <c r="F76" s="20" t="s">
        <v>374</v>
      </c>
      <c r="G76" s="20" t="s">
        <v>57</v>
      </c>
      <c r="H76" s="20" t="s">
        <v>58</v>
      </c>
      <c r="I76" s="21">
        <v>156.93</v>
      </c>
      <c r="J76" s="20" t="s">
        <v>375</v>
      </c>
      <c r="K76" s="20" t="s">
        <v>374</v>
      </c>
      <c r="L76" s="20" t="s">
        <v>376</v>
      </c>
      <c r="M76" s="20" t="s">
        <v>142</v>
      </c>
      <c r="N76" s="20" t="s">
        <v>166</v>
      </c>
      <c r="O76" s="20" t="s">
        <v>45</v>
      </c>
      <c r="P76" s="20" t="s">
        <v>377</v>
      </c>
      <c r="Q76" s="20" t="s">
        <v>74</v>
      </c>
    </row>
    <row r="77" ht="60.0" customHeight="1">
      <c r="A77" s="4" t="s">
        <v>168</v>
      </c>
      <c r="C77" s="20" t="s">
        <v>115</v>
      </c>
      <c r="D77" s="20" t="s">
        <v>378</v>
      </c>
      <c r="E77" s="20"/>
      <c r="F77" s="20" t="s">
        <v>379</v>
      </c>
      <c r="G77" s="20" t="s">
        <v>93</v>
      </c>
      <c r="H77" s="20" t="s">
        <v>94</v>
      </c>
      <c r="I77" s="21">
        <v>158.46</v>
      </c>
      <c r="J77" s="20" t="s">
        <v>380</v>
      </c>
      <c r="K77" s="20" t="s">
        <v>379</v>
      </c>
      <c r="L77" s="20" t="s">
        <v>381</v>
      </c>
      <c r="M77" s="20" t="s">
        <v>142</v>
      </c>
      <c r="N77" s="20" t="s">
        <v>143</v>
      </c>
      <c r="O77" s="20" t="s">
        <v>45</v>
      </c>
      <c r="P77" s="20" t="s">
        <v>382</v>
      </c>
      <c r="Q77" s="20" t="s">
        <v>114</v>
      </c>
    </row>
    <row r="78" ht="60.0" customHeight="1">
      <c r="A78" s="4" t="s">
        <v>168</v>
      </c>
      <c r="C78" s="17" t="s">
        <v>383</v>
      </c>
      <c r="D78" s="17" t="s">
        <v>55</v>
      </c>
      <c r="E78" s="17"/>
      <c r="F78" s="17" t="s">
        <v>384</v>
      </c>
      <c r="G78" s="17" t="s">
        <v>57</v>
      </c>
      <c r="H78" s="17" t="s">
        <v>58</v>
      </c>
      <c r="I78" s="18">
        <v>162.27</v>
      </c>
      <c r="J78" s="17" t="s">
        <v>385</v>
      </c>
      <c r="K78" s="17" t="s">
        <v>384</v>
      </c>
      <c r="L78" s="17" t="s">
        <v>208</v>
      </c>
      <c r="M78" s="17" t="s">
        <v>97</v>
      </c>
      <c r="N78" s="17" t="s">
        <v>98</v>
      </c>
      <c r="O78" s="17" t="s">
        <v>45</v>
      </c>
      <c r="P78" s="17" t="s">
        <v>386</v>
      </c>
      <c r="Q78" s="17" t="s">
        <v>64</v>
      </c>
    </row>
    <row r="79" ht="60.0" customHeight="1">
      <c r="A79" s="4" t="s">
        <v>168</v>
      </c>
      <c r="C79" s="17" t="s">
        <v>276</v>
      </c>
      <c r="D79" s="17" t="s">
        <v>55</v>
      </c>
      <c r="E79" s="17"/>
      <c r="F79" s="17" t="s">
        <v>348</v>
      </c>
      <c r="G79" s="17" t="s">
        <v>57</v>
      </c>
      <c r="H79" s="17" t="s">
        <v>58</v>
      </c>
      <c r="I79" s="18">
        <v>169.82</v>
      </c>
      <c r="J79" s="17" t="s">
        <v>387</v>
      </c>
      <c r="K79" s="17" t="s">
        <v>348</v>
      </c>
      <c r="L79" s="17" t="s">
        <v>350</v>
      </c>
      <c r="M79" s="17" t="s">
        <v>119</v>
      </c>
      <c r="N79" s="17" t="s">
        <v>120</v>
      </c>
      <c r="O79" s="17" t="s">
        <v>45</v>
      </c>
      <c r="P79" s="17" t="s">
        <v>388</v>
      </c>
      <c r="Q79" s="17" t="s">
        <v>64</v>
      </c>
    </row>
    <row r="80" ht="60.0" customHeight="1">
      <c r="A80" s="4" t="s">
        <v>168</v>
      </c>
      <c r="C80" s="20" t="s">
        <v>100</v>
      </c>
      <c r="D80" s="20" t="s">
        <v>55</v>
      </c>
      <c r="E80" s="20"/>
      <c r="F80" s="20" t="s">
        <v>389</v>
      </c>
      <c r="G80" s="20" t="s">
        <v>57</v>
      </c>
      <c r="H80" s="20" t="s">
        <v>58</v>
      </c>
      <c r="I80" s="21">
        <v>170.05</v>
      </c>
      <c r="J80" s="20" t="s">
        <v>390</v>
      </c>
      <c r="K80" s="20" t="s">
        <v>389</v>
      </c>
      <c r="L80" s="20" t="s">
        <v>391</v>
      </c>
      <c r="M80" s="20" t="s">
        <v>142</v>
      </c>
      <c r="N80" s="20" t="s">
        <v>213</v>
      </c>
      <c r="O80" s="20" t="s">
        <v>45</v>
      </c>
      <c r="P80" s="20" t="s">
        <v>392</v>
      </c>
      <c r="Q80" s="20" t="s">
        <v>122</v>
      </c>
    </row>
    <row r="81" ht="60.0" customHeight="1">
      <c r="A81" s="4" t="s">
        <v>168</v>
      </c>
      <c r="C81" s="20" t="s">
        <v>65</v>
      </c>
      <c r="D81" s="20" t="s">
        <v>55</v>
      </c>
      <c r="E81" s="20"/>
      <c r="F81" s="20" t="s">
        <v>348</v>
      </c>
      <c r="G81" s="20" t="s">
        <v>57</v>
      </c>
      <c r="H81" s="20" t="s">
        <v>58</v>
      </c>
      <c r="I81" s="21">
        <v>174.63</v>
      </c>
      <c r="J81" s="20" t="s">
        <v>393</v>
      </c>
      <c r="K81" s="20" t="s">
        <v>348</v>
      </c>
      <c r="L81" s="20" t="s">
        <v>350</v>
      </c>
      <c r="M81" s="20" t="s">
        <v>119</v>
      </c>
      <c r="N81" s="20" t="s">
        <v>120</v>
      </c>
      <c r="O81" s="20" t="s">
        <v>45</v>
      </c>
      <c r="P81" s="20" t="s">
        <v>394</v>
      </c>
      <c r="Q81" s="20" t="s">
        <v>64</v>
      </c>
    </row>
    <row r="82" ht="60.0" customHeight="1">
      <c r="A82" s="4" t="s">
        <v>168</v>
      </c>
      <c r="C82" s="20" t="s">
        <v>301</v>
      </c>
      <c r="D82" s="20" t="s">
        <v>55</v>
      </c>
      <c r="E82" s="20"/>
      <c r="F82" s="20" t="s">
        <v>251</v>
      </c>
      <c r="G82" s="20" t="s">
        <v>57</v>
      </c>
      <c r="H82" s="20" t="s">
        <v>58</v>
      </c>
      <c r="I82" s="21">
        <v>178.64</v>
      </c>
      <c r="J82" s="20" t="s">
        <v>395</v>
      </c>
      <c r="K82" s="20" t="s">
        <v>251</v>
      </c>
      <c r="L82" s="20" t="s">
        <v>253</v>
      </c>
      <c r="M82" s="20" t="s">
        <v>142</v>
      </c>
      <c r="N82" s="20" t="s">
        <v>143</v>
      </c>
      <c r="O82" s="20" t="s">
        <v>45</v>
      </c>
      <c r="P82" s="20" t="s">
        <v>396</v>
      </c>
      <c r="Q82" s="20" t="s">
        <v>114</v>
      </c>
    </row>
    <row r="83" ht="60.0" customHeight="1">
      <c r="A83" s="4" t="s">
        <v>168</v>
      </c>
      <c r="C83" s="20" t="s">
        <v>233</v>
      </c>
      <c r="D83" s="20" t="s">
        <v>55</v>
      </c>
      <c r="E83" s="20"/>
      <c r="F83" s="20" t="s">
        <v>397</v>
      </c>
      <c r="G83" s="20" t="s">
        <v>93</v>
      </c>
      <c r="H83" s="20" t="s">
        <v>94</v>
      </c>
      <c r="I83" s="21">
        <v>186.74</v>
      </c>
      <c r="J83" s="20" t="s">
        <v>398</v>
      </c>
      <c r="K83" s="20" t="s">
        <v>397</v>
      </c>
      <c r="L83" s="20" t="s">
        <v>399</v>
      </c>
      <c r="M83" s="20" t="s">
        <v>400</v>
      </c>
      <c r="N83" s="20" t="s">
        <v>401</v>
      </c>
      <c r="O83" s="20" t="s">
        <v>45</v>
      </c>
      <c r="P83" s="20" t="s">
        <v>402</v>
      </c>
      <c r="Q83" s="20" t="s">
        <v>403</v>
      </c>
    </row>
    <row r="84" ht="60.0" customHeight="1">
      <c r="A84" s="4" t="s">
        <v>168</v>
      </c>
      <c r="C84" s="20" t="s">
        <v>383</v>
      </c>
      <c r="D84" s="20" t="s">
        <v>55</v>
      </c>
      <c r="E84" s="20"/>
      <c r="F84" s="20" t="s">
        <v>66</v>
      </c>
      <c r="G84" s="20" t="s">
        <v>67</v>
      </c>
      <c r="H84" s="20" t="s">
        <v>68</v>
      </c>
      <c r="I84" s="21">
        <v>201.51</v>
      </c>
      <c r="J84" s="20" t="s">
        <v>404</v>
      </c>
      <c r="K84" s="20" t="s">
        <v>66</v>
      </c>
      <c r="L84" s="20" t="s">
        <v>70</v>
      </c>
      <c r="M84" s="20" t="s">
        <v>71</v>
      </c>
      <c r="N84" s="20" t="s">
        <v>72</v>
      </c>
      <c r="O84" s="20" t="s">
        <v>45</v>
      </c>
      <c r="P84" s="20" t="s">
        <v>405</v>
      </c>
      <c r="Q84" s="20" t="s">
        <v>74</v>
      </c>
    </row>
    <row r="85" ht="60.0" customHeight="1">
      <c r="A85" s="4" t="s">
        <v>168</v>
      </c>
      <c r="C85" s="20" t="s">
        <v>239</v>
      </c>
      <c r="D85" s="20" t="s">
        <v>55</v>
      </c>
      <c r="E85" s="20"/>
      <c r="F85" s="20" t="s">
        <v>406</v>
      </c>
      <c r="G85" s="20" t="s">
        <v>57</v>
      </c>
      <c r="H85" s="20" t="s">
        <v>58</v>
      </c>
      <c r="I85" s="21">
        <v>203.91</v>
      </c>
      <c r="J85" s="20" t="s">
        <v>407</v>
      </c>
      <c r="K85" s="20" t="s">
        <v>406</v>
      </c>
      <c r="L85" s="20" t="s">
        <v>285</v>
      </c>
      <c r="M85" s="20" t="s">
        <v>71</v>
      </c>
      <c r="N85" s="20" t="s">
        <v>249</v>
      </c>
      <c r="O85" s="20" t="s">
        <v>45</v>
      </c>
      <c r="P85" s="20" t="s">
        <v>408</v>
      </c>
      <c r="Q85" s="20" t="s">
        <v>287</v>
      </c>
    </row>
    <row r="86" ht="60.0" customHeight="1">
      <c r="A86" s="4" t="s">
        <v>168</v>
      </c>
      <c r="C86" s="20" t="s">
        <v>91</v>
      </c>
      <c r="D86" s="20" t="s">
        <v>55</v>
      </c>
      <c r="E86" s="20"/>
      <c r="F86" s="20" t="s">
        <v>157</v>
      </c>
      <c r="G86" s="20" t="s">
        <v>93</v>
      </c>
      <c r="H86" s="20" t="s">
        <v>94</v>
      </c>
      <c r="I86" s="21">
        <v>223.12</v>
      </c>
      <c r="J86" s="20" t="s">
        <v>409</v>
      </c>
      <c r="K86" s="20" t="s">
        <v>159</v>
      </c>
      <c r="L86" s="20" t="s">
        <v>86</v>
      </c>
      <c r="M86" s="20" t="s">
        <v>87</v>
      </c>
      <c r="N86" s="20" t="s">
        <v>88</v>
      </c>
      <c r="O86" s="20" t="s">
        <v>45</v>
      </c>
      <c r="P86" s="20" t="s">
        <v>410</v>
      </c>
      <c r="Q86" s="20" t="s">
        <v>90</v>
      </c>
    </row>
    <row r="87" ht="60.0" customHeight="1">
      <c r="A87" s="22" t="s">
        <v>36</v>
      </c>
      <c r="B87" s="22"/>
      <c r="C87" s="17" t="s">
        <v>54</v>
      </c>
      <c r="D87" s="17" t="s">
        <v>55</v>
      </c>
      <c r="E87" s="17"/>
      <c r="F87" s="17" t="s">
        <v>411</v>
      </c>
      <c r="G87" s="17" t="s">
        <v>67</v>
      </c>
      <c r="H87" s="17" t="s">
        <v>68</v>
      </c>
      <c r="I87" s="18">
        <v>223.89</v>
      </c>
      <c r="J87" s="17" t="s">
        <v>412</v>
      </c>
      <c r="K87" s="17" t="s">
        <v>411</v>
      </c>
      <c r="L87" s="17" t="s">
        <v>413</v>
      </c>
      <c r="M87" s="17" t="s">
        <v>414</v>
      </c>
      <c r="N87" s="17" t="s">
        <v>415</v>
      </c>
      <c r="O87" s="17" t="s">
        <v>45</v>
      </c>
      <c r="P87" s="17" t="s">
        <v>416</v>
      </c>
      <c r="Q87" s="17" t="s">
        <v>417</v>
      </c>
    </row>
    <row r="88" ht="60.0" customHeight="1">
      <c r="A88" s="4" t="s">
        <v>168</v>
      </c>
      <c r="C88" s="20" t="s">
        <v>183</v>
      </c>
      <c r="D88" s="20" t="s">
        <v>55</v>
      </c>
      <c r="E88" s="20"/>
      <c r="F88" s="20" t="s">
        <v>418</v>
      </c>
      <c r="G88" s="20" t="s">
        <v>39</v>
      </c>
      <c r="H88" s="20" t="s">
        <v>40</v>
      </c>
      <c r="I88" s="21">
        <v>229.46</v>
      </c>
      <c r="J88" s="20" t="s">
        <v>419</v>
      </c>
      <c r="K88" s="20" t="s">
        <v>418</v>
      </c>
      <c r="L88" s="20" t="s">
        <v>420</v>
      </c>
      <c r="M88" s="20" t="s">
        <v>43</v>
      </c>
      <c r="N88" s="20" t="s">
        <v>421</v>
      </c>
      <c r="O88" s="20" t="s">
        <v>45</v>
      </c>
      <c r="P88" s="20" t="s">
        <v>422</v>
      </c>
      <c r="Q88" s="20" t="s">
        <v>423</v>
      </c>
    </row>
    <row r="89" ht="60.0" customHeight="1">
      <c r="A89" s="22" t="s">
        <v>168</v>
      </c>
      <c r="B89" s="22"/>
      <c r="C89" s="20" t="s">
        <v>196</v>
      </c>
      <c r="D89" s="20" t="s">
        <v>55</v>
      </c>
      <c r="E89" s="20"/>
      <c r="F89" s="20" t="s">
        <v>424</v>
      </c>
      <c r="G89" s="20" t="s">
        <v>149</v>
      </c>
      <c r="H89" s="20" t="s">
        <v>150</v>
      </c>
      <c r="I89" s="21">
        <v>232.06</v>
      </c>
      <c r="J89" s="20" t="s">
        <v>425</v>
      </c>
      <c r="K89" s="20" t="s">
        <v>424</v>
      </c>
      <c r="L89" s="20" t="s">
        <v>426</v>
      </c>
      <c r="M89" s="20" t="s">
        <v>427</v>
      </c>
      <c r="N89" s="20" t="s">
        <v>428</v>
      </c>
      <c r="O89" s="20" t="s">
        <v>45</v>
      </c>
      <c r="P89" s="20" t="s">
        <v>429</v>
      </c>
      <c r="Q89" s="20" t="s">
        <v>64</v>
      </c>
    </row>
    <row r="90" ht="60.0" customHeight="1">
      <c r="A90" s="4" t="s">
        <v>168</v>
      </c>
      <c r="C90" s="17" t="s">
        <v>75</v>
      </c>
      <c r="D90" s="17" t="s">
        <v>55</v>
      </c>
      <c r="E90" s="17"/>
      <c r="F90" s="17" t="s">
        <v>430</v>
      </c>
      <c r="G90" s="17" t="s">
        <v>57</v>
      </c>
      <c r="H90" s="17" t="s">
        <v>58</v>
      </c>
      <c r="I90" s="18">
        <v>234.23</v>
      </c>
      <c r="J90" s="17" t="s">
        <v>431</v>
      </c>
      <c r="K90" s="17" t="s">
        <v>430</v>
      </c>
      <c r="L90" s="17" t="s">
        <v>432</v>
      </c>
      <c r="M90" s="17" t="s">
        <v>433</v>
      </c>
      <c r="N90" s="17" t="s">
        <v>434</v>
      </c>
      <c r="O90" s="17" t="s">
        <v>45</v>
      </c>
      <c r="P90" s="17" t="s">
        <v>435</v>
      </c>
      <c r="Q90" s="17" t="s">
        <v>74</v>
      </c>
    </row>
    <row r="91" ht="60.0" customHeight="1">
      <c r="A91" s="4" t="s">
        <v>168</v>
      </c>
      <c r="C91" s="17" t="s">
        <v>37</v>
      </c>
      <c r="D91" s="17" t="s">
        <v>55</v>
      </c>
      <c r="E91" s="17"/>
      <c r="F91" s="17" t="s">
        <v>436</v>
      </c>
      <c r="G91" s="17" t="s">
        <v>39</v>
      </c>
      <c r="H91" s="17" t="s">
        <v>40</v>
      </c>
      <c r="I91" s="18">
        <v>243.45</v>
      </c>
      <c r="J91" s="17" t="s">
        <v>437</v>
      </c>
      <c r="K91" s="17" t="s">
        <v>436</v>
      </c>
      <c r="L91" s="17" t="s">
        <v>438</v>
      </c>
      <c r="M91" s="17" t="s">
        <v>371</v>
      </c>
      <c r="N91" s="17" t="s">
        <v>372</v>
      </c>
      <c r="O91" s="17" t="s">
        <v>45</v>
      </c>
      <c r="P91" s="17" t="s">
        <v>439</v>
      </c>
      <c r="Q91" s="17" t="s">
        <v>174</v>
      </c>
    </row>
    <row r="92" ht="60.0" customHeight="1">
      <c r="A92" s="4" t="s">
        <v>168</v>
      </c>
      <c r="C92" s="20" t="s">
        <v>75</v>
      </c>
      <c r="D92" s="20" t="s">
        <v>55</v>
      </c>
      <c r="E92" s="20"/>
      <c r="F92" s="20" t="s">
        <v>440</v>
      </c>
      <c r="G92" s="20" t="s">
        <v>67</v>
      </c>
      <c r="H92" s="20" t="s">
        <v>68</v>
      </c>
      <c r="I92" s="21">
        <v>270.0</v>
      </c>
      <c r="J92" s="20" t="s">
        <v>441</v>
      </c>
      <c r="K92" s="20" t="s">
        <v>440</v>
      </c>
      <c r="L92" s="20" t="s">
        <v>285</v>
      </c>
      <c r="M92" s="20" t="s">
        <v>71</v>
      </c>
      <c r="N92" s="20" t="s">
        <v>249</v>
      </c>
      <c r="O92" s="20" t="s">
        <v>45</v>
      </c>
      <c r="P92" s="20" t="s">
        <v>442</v>
      </c>
      <c r="Q92" s="20" t="s">
        <v>287</v>
      </c>
    </row>
    <row r="93" ht="60.0" customHeight="1">
      <c r="A93" s="4" t="s">
        <v>168</v>
      </c>
      <c r="C93" s="17" t="s">
        <v>156</v>
      </c>
      <c r="D93" s="17" t="s">
        <v>55</v>
      </c>
      <c r="E93" s="17"/>
      <c r="F93" s="17" t="s">
        <v>84</v>
      </c>
      <c r="G93" s="17" t="s">
        <v>93</v>
      </c>
      <c r="H93" s="17" t="s">
        <v>94</v>
      </c>
      <c r="I93" s="18">
        <v>286.19</v>
      </c>
      <c r="J93" s="17" t="s">
        <v>443</v>
      </c>
      <c r="K93" s="17" t="s">
        <v>84</v>
      </c>
      <c r="L93" s="17" t="s">
        <v>86</v>
      </c>
      <c r="M93" s="17" t="s">
        <v>87</v>
      </c>
      <c r="N93" s="17" t="s">
        <v>88</v>
      </c>
      <c r="O93" s="17" t="s">
        <v>45</v>
      </c>
      <c r="P93" s="17" t="s">
        <v>444</v>
      </c>
      <c r="Q93" s="17" t="s">
        <v>90</v>
      </c>
    </row>
    <row r="94" ht="60.0" customHeight="1">
      <c r="A94" s="4" t="s">
        <v>168</v>
      </c>
      <c r="C94" s="17" t="s">
        <v>123</v>
      </c>
      <c r="D94" s="17" t="s">
        <v>55</v>
      </c>
      <c r="E94" s="17"/>
      <c r="F94" s="17" t="s">
        <v>445</v>
      </c>
      <c r="G94" s="17" t="s">
        <v>127</v>
      </c>
      <c r="H94" s="17" t="s">
        <v>128</v>
      </c>
      <c r="I94" s="18">
        <v>307.25</v>
      </c>
      <c r="J94" s="17" t="s">
        <v>446</v>
      </c>
      <c r="K94" s="17" t="s">
        <v>445</v>
      </c>
      <c r="L94" s="17" t="s">
        <v>447</v>
      </c>
      <c r="M94" s="17" t="s">
        <v>142</v>
      </c>
      <c r="N94" s="17" t="s">
        <v>143</v>
      </c>
      <c r="O94" s="17" t="s">
        <v>45</v>
      </c>
      <c r="P94" s="17" t="s">
        <v>448</v>
      </c>
      <c r="Q94" s="17" t="s">
        <v>182</v>
      </c>
    </row>
    <row r="95" ht="60.0" customHeight="1">
      <c r="A95" s="4" t="s">
        <v>168</v>
      </c>
      <c r="C95" s="17" t="s">
        <v>75</v>
      </c>
      <c r="D95" s="17" t="s">
        <v>55</v>
      </c>
      <c r="E95" s="17"/>
      <c r="F95" s="17" t="s">
        <v>406</v>
      </c>
      <c r="G95" s="17" t="s">
        <v>57</v>
      </c>
      <c r="H95" s="17" t="s">
        <v>58</v>
      </c>
      <c r="I95" s="18">
        <v>329.79</v>
      </c>
      <c r="J95" s="17" t="s">
        <v>449</v>
      </c>
      <c r="K95" s="17" t="s">
        <v>406</v>
      </c>
      <c r="L95" s="17" t="s">
        <v>285</v>
      </c>
      <c r="M95" s="17" t="s">
        <v>71</v>
      </c>
      <c r="N95" s="17" t="s">
        <v>249</v>
      </c>
      <c r="O95" s="17" t="s">
        <v>45</v>
      </c>
      <c r="P95" s="17" t="s">
        <v>450</v>
      </c>
      <c r="Q95" s="17" t="s">
        <v>287</v>
      </c>
    </row>
    <row r="96" ht="60.0" customHeight="1">
      <c r="A96" s="4" t="s">
        <v>168</v>
      </c>
      <c r="C96" s="20" t="s">
        <v>233</v>
      </c>
      <c r="D96" s="20" t="s">
        <v>55</v>
      </c>
      <c r="E96" s="20"/>
      <c r="F96" s="20" t="s">
        <v>451</v>
      </c>
      <c r="G96" s="20" t="s">
        <v>149</v>
      </c>
      <c r="H96" s="20" t="s">
        <v>150</v>
      </c>
      <c r="I96" s="21">
        <v>356.08</v>
      </c>
      <c r="J96" s="20" t="s">
        <v>452</v>
      </c>
      <c r="K96" s="20" t="s">
        <v>451</v>
      </c>
      <c r="L96" s="20" t="s">
        <v>453</v>
      </c>
      <c r="M96" s="20" t="s">
        <v>454</v>
      </c>
      <c r="N96" s="20" t="s">
        <v>455</v>
      </c>
      <c r="O96" s="20" t="s">
        <v>45</v>
      </c>
      <c r="P96" s="20" t="s">
        <v>456</v>
      </c>
      <c r="Q96" s="20" t="s">
        <v>64</v>
      </c>
    </row>
    <row r="97" ht="60.0" customHeight="1">
      <c r="A97" s="4" t="s">
        <v>168</v>
      </c>
      <c r="C97" s="20" t="s">
        <v>75</v>
      </c>
      <c r="D97" s="20" t="s">
        <v>55</v>
      </c>
      <c r="E97" s="20"/>
      <c r="F97" s="20" t="s">
        <v>457</v>
      </c>
      <c r="G97" s="20" t="s">
        <v>149</v>
      </c>
      <c r="H97" s="20" t="s">
        <v>150</v>
      </c>
      <c r="I97" s="21">
        <v>362.15</v>
      </c>
      <c r="J97" s="20" t="s">
        <v>458</v>
      </c>
      <c r="K97" s="20" t="s">
        <v>457</v>
      </c>
      <c r="L97" s="20" t="s">
        <v>459</v>
      </c>
      <c r="M97" s="20" t="s">
        <v>119</v>
      </c>
      <c r="N97" s="20" t="s">
        <v>231</v>
      </c>
      <c r="O97" s="20" t="s">
        <v>45</v>
      </c>
      <c r="P97" s="20" t="s">
        <v>460</v>
      </c>
      <c r="Q97" s="20" t="s">
        <v>182</v>
      </c>
    </row>
    <row r="98" ht="60.0" customHeight="1">
      <c r="A98" s="4" t="s">
        <v>168</v>
      </c>
      <c r="C98" s="17" t="s">
        <v>147</v>
      </c>
      <c r="D98" s="17" t="s">
        <v>55</v>
      </c>
      <c r="E98" s="17"/>
      <c r="F98" s="17" t="s">
        <v>424</v>
      </c>
      <c r="G98" s="17" t="s">
        <v>149</v>
      </c>
      <c r="H98" s="17" t="s">
        <v>150</v>
      </c>
      <c r="I98" s="18">
        <v>378.36</v>
      </c>
      <c r="J98" s="17" t="s">
        <v>461</v>
      </c>
      <c r="K98" s="17" t="s">
        <v>424</v>
      </c>
      <c r="L98" s="17" t="s">
        <v>426</v>
      </c>
      <c r="M98" s="17" t="s">
        <v>427</v>
      </c>
      <c r="N98" s="17" t="s">
        <v>428</v>
      </c>
      <c r="O98" s="17" t="s">
        <v>45</v>
      </c>
      <c r="P98" s="17" t="s">
        <v>462</v>
      </c>
      <c r="Q98" s="17" t="s">
        <v>64</v>
      </c>
    </row>
    <row r="99" ht="60.0" customHeight="1">
      <c r="A99" s="4" t="s">
        <v>168</v>
      </c>
      <c r="C99" s="17" t="s">
        <v>91</v>
      </c>
      <c r="D99" s="17" t="s">
        <v>55</v>
      </c>
      <c r="E99" s="17"/>
      <c r="F99" s="17" t="s">
        <v>424</v>
      </c>
      <c r="G99" s="17" t="s">
        <v>149</v>
      </c>
      <c r="H99" s="17" t="s">
        <v>150</v>
      </c>
      <c r="I99" s="18">
        <v>396.94</v>
      </c>
      <c r="J99" s="17" t="s">
        <v>463</v>
      </c>
      <c r="K99" s="17" t="s">
        <v>424</v>
      </c>
      <c r="L99" s="17" t="s">
        <v>426</v>
      </c>
      <c r="M99" s="17" t="s">
        <v>427</v>
      </c>
      <c r="N99" s="17" t="s">
        <v>428</v>
      </c>
      <c r="O99" s="17" t="s">
        <v>45</v>
      </c>
      <c r="P99" s="17" t="s">
        <v>464</v>
      </c>
      <c r="Q99" s="17" t="s">
        <v>64</v>
      </c>
    </row>
    <row r="100" ht="60.0" customHeight="1">
      <c r="A100" s="4" t="s">
        <v>36</v>
      </c>
      <c r="C100" s="20" t="s">
        <v>367</v>
      </c>
      <c r="D100" s="20" t="s">
        <v>55</v>
      </c>
      <c r="E100" s="20"/>
      <c r="F100" s="20" t="s">
        <v>465</v>
      </c>
      <c r="G100" s="20" t="s">
        <v>127</v>
      </c>
      <c r="H100" s="20" t="s">
        <v>128</v>
      </c>
      <c r="I100" s="21">
        <v>406.92</v>
      </c>
      <c r="J100" s="20" t="s">
        <v>466</v>
      </c>
      <c r="K100" s="20" t="s">
        <v>465</v>
      </c>
      <c r="L100" s="20" t="s">
        <v>467</v>
      </c>
      <c r="M100" s="20" t="s">
        <v>142</v>
      </c>
      <c r="N100" s="20" t="s">
        <v>468</v>
      </c>
      <c r="O100" s="20" t="s">
        <v>45</v>
      </c>
      <c r="P100" s="20" t="s">
        <v>469</v>
      </c>
      <c r="Q100" s="20" t="s">
        <v>308</v>
      </c>
    </row>
    <row r="101" ht="60.0" customHeight="1">
      <c r="A101" s="4" t="s">
        <v>168</v>
      </c>
      <c r="C101" s="17" t="s">
        <v>367</v>
      </c>
      <c r="D101" s="17" t="s">
        <v>55</v>
      </c>
      <c r="E101" s="17"/>
      <c r="F101" s="17" t="s">
        <v>465</v>
      </c>
      <c r="G101" s="17" t="s">
        <v>127</v>
      </c>
      <c r="H101" s="17" t="s">
        <v>128</v>
      </c>
      <c r="I101" s="18">
        <v>406.92</v>
      </c>
      <c r="J101" s="17" t="s">
        <v>470</v>
      </c>
      <c r="K101" s="17" t="s">
        <v>465</v>
      </c>
      <c r="L101" s="17" t="s">
        <v>467</v>
      </c>
      <c r="M101" s="17" t="s">
        <v>142</v>
      </c>
      <c r="N101" s="17" t="s">
        <v>468</v>
      </c>
      <c r="O101" s="17" t="s">
        <v>45</v>
      </c>
      <c r="P101" s="17" t="s">
        <v>471</v>
      </c>
      <c r="Q101" s="17" t="s">
        <v>308</v>
      </c>
    </row>
    <row r="102" ht="60.0" customHeight="1">
      <c r="A102" s="4" t="s">
        <v>168</v>
      </c>
      <c r="C102" s="17" t="s">
        <v>233</v>
      </c>
      <c r="D102" s="17" t="s">
        <v>55</v>
      </c>
      <c r="E102" s="17"/>
      <c r="F102" s="17" t="s">
        <v>465</v>
      </c>
      <c r="G102" s="17" t="s">
        <v>127</v>
      </c>
      <c r="H102" s="17" t="s">
        <v>128</v>
      </c>
      <c r="I102" s="18">
        <v>533.68</v>
      </c>
      <c r="J102" s="17" t="s">
        <v>472</v>
      </c>
      <c r="K102" s="17" t="s">
        <v>465</v>
      </c>
      <c r="L102" s="17" t="s">
        <v>467</v>
      </c>
      <c r="M102" s="17" t="s">
        <v>142</v>
      </c>
      <c r="N102" s="17" t="s">
        <v>468</v>
      </c>
      <c r="O102" s="17" t="s">
        <v>45</v>
      </c>
      <c r="P102" s="17" t="s">
        <v>473</v>
      </c>
      <c r="Q102" s="17" t="s">
        <v>308</v>
      </c>
    </row>
    <row r="103" ht="60.0" customHeight="1">
      <c r="A103" s="22" t="s">
        <v>168</v>
      </c>
      <c r="B103" s="22"/>
      <c r="C103" s="20" t="s">
        <v>233</v>
      </c>
      <c r="D103" s="20" t="s">
        <v>55</v>
      </c>
      <c r="E103" s="20"/>
      <c r="F103" s="20" t="s">
        <v>465</v>
      </c>
      <c r="G103" s="20" t="s">
        <v>127</v>
      </c>
      <c r="H103" s="20" t="s">
        <v>128</v>
      </c>
      <c r="I103" s="21">
        <v>533.68</v>
      </c>
      <c r="J103" s="20" t="s">
        <v>474</v>
      </c>
      <c r="K103" s="20" t="s">
        <v>465</v>
      </c>
      <c r="L103" s="20" t="s">
        <v>467</v>
      </c>
      <c r="M103" s="20" t="s">
        <v>142</v>
      </c>
      <c r="N103" s="20" t="s">
        <v>468</v>
      </c>
      <c r="O103" s="20" t="s">
        <v>45</v>
      </c>
      <c r="P103" s="20" t="s">
        <v>475</v>
      </c>
      <c r="Q103" s="20" t="s">
        <v>308</v>
      </c>
    </row>
    <row r="104" ht="60.0" customHeight="1">
      <c r="A104" s="4" t="s">
        <v>168</v>
      </c>
      <c r="C104" s="17" t="s">
        <v>183</v>
      </c>
      <c r="D104" s="17" t="s">
        <v>55</v>
      </c>
      <c r="E104" s="17"/>
      <c r="F104" s="17" t="s">
        <v>476</v>
      </c>
      <c r="G104" s="17" t="s">
        <v>127</v>
      </c>
      <c r="H104" s="17" t="s">
        <v>128</v>
      </c>
      <c r="I104" s="18">
        <v>544.08</v>
      </c>
      <c r="J104" s="17" t="s">
        <v>477</v>
      </c>
      <c r="K104" s="17" t="s">
        <v>476</v>
      </c>
      <c r="L104" s="17" t="s">
        <v>478</v>
      </c>
      <c r="M104" s="17" t="s">
        <v>142</v>
      </c>
      <c r="N104" s="17" t="s">
        <v>479</v>
      </c>
      <c r="O104" s="17" t="s">
        <v>45</v>
      </c>
      <c r="P104" s="17" t="s">
        <v>480</v>
      </c>
      <c r="Q104" s="17" t="s">
        <v>308</v>
      </c>
    </row>
    <row r="105" ht="60.0" customHeight="1">
      <c r="A105" s="22" t="s">
        <v>168</v>
      </c>
      <c r="B105" s="22"/>
      <c r="C105" s="17" t="s">
        <v>147</v>
      </c>
      <c r="D105" s="17" t="s">
        <v>55</v>
      </c>
      <c r="E105" s="17"/>
      <c r="F105" s="17" t="s">
        <v>476</v>
      </c>
      <c r="G105" s="17" t="s">
        <v>127</v>
      </c>
      <c r="H105" s="17" t="s">
        <v>128</v>
      </c>
      <c r="I105" s="18">
        <v>544.08</v>
      </c>
      <c r="J105" s="17" t="s">
        <v>481</v>
      </c>
      <c r="K105" s="17" t="s">
        <v>476</v>
      </c>
      <c r="L105" s="17" t="s">
        <v>478</v>
      </c>
      <c r="M105" s="17" t="s">
        <v>142</v>
      </c>
      <c r="N105" s="17" t="s">
        <v>479</v>
      </c>
      <c r="O105" s="17" t="s">
        <v>45</v>
      </c>
      <c r="P105" s="17" t="s">
        <v>482</v>
      </c>
      <c r="Q105" s="17" t="s">
        <v>308</v>
      </c>
    </row>
    <row r="106" ht="60.0" customHeight="1">
      <c r="A106" s="4" t="s">
        <v>168</v>
      </c>
      <c r="C106" s="17" t="s">
        <v>147</v>
      </c>
      <c r="D106" s="17" t="s">
        <v>55</v>
      </c>
      <c r="E106" s="17"/>
      <c r="F106" s="17" t="s">
        <v>38</v>
      </c>
      <c r="G106" s="17" t="s">
        <v>39</v>
      </c>
      <c r="H106" s="17" t="s">
        <v>40</v>
      </c>
      <c r="I106" s="18">
        <v>851.14</v>
      </c>
      <c r="J106" s="17" t="s">
        <v>483</v>
      </c>
      <c r="K106" s="17" t="s">
        <v>38</v>
      </c>
      <c r="L106" s="17" t="s">
        <v>42</v>
      </c>
      <c r="M106" s="17" t="s">
        <v>43</v>
      </c>
      <c r="N106" s="17" t="s">
        <v>44</v>
      </c>
      <c r="O106" s="17" t="s">
        <v>45</v>
      </c>
      <c r="P106" s="17" t="s">
        <v>484</v>
      </c>
      <c r="Q106" s="17" t="s">
        <v>47</v>
      </c>
    </row>
    <row r="107" ht="60.0" customHeight="1">
      <c r="A107" s="4" t="s">
        <v>168</v>
      </c>
      <c r="C107" s="20" t="s">
        <v>147</v>
      </c>
      <c r="D107" s="20" t="s">
        <v>55</v>
      </c>
      <c r="E107" s="20"/>
      <c r="F107" s="20" t="s">
        <v>38</v>
      </c>
      <c r="G107" s="20" t="s">
        <v>39</v>
      </c>
      <c r="H107" s="20" t="s">
        <v>40</v>
      </c>
      <c r="I107" s="21">
        <v>851.14</v>
      </c>
      <c r="J107" s="20" t="s">
        <v>485</v>
      </c>
      <c r="K107" s="20" t="s">
        <v>38</v>
      </c>
      <c r="L107" s="20" t="s">
        <v>42</v>
      </c>
      <c r="M107" s="20" t="s">
        <v>43</v>
      </c>
      <c r="N107" s="20" t="s">
        <v>44</v>
      </c>
      <c r="O107" s="20" t="s">
        <v>45</v>
      </c>
      <c r="P107" s="20" t="s">
        <v>486</v>
      </c>
      <c r="Q107" s="20" t="s">
        <v>47</v>
      </c>
    </row>
    <row r="108" ht="60.0" customHeight="1">
      <c r="A108" s="4" t="s">
        <v>168</v>
      </c>
      <c r="C108" s="20" t="s">
        <v>183</v>
      </c>
      <c r="D108" s="20" t="s">
        <v>55</v>
      </c>
      <c r="E108" s="20"/>
      <c r="F108" s="20" t="s">
        <v>436</v>
      </c>
      <c r="G108" s="20" t="s">
        <v>39</v>
      </c>
      <c r="H108" s="20" t="s">
        <v>40</v>
      </c>
      <c r="I108" s="21">
        <v>1003.9</v>
      </c>
      <c r="J108" s="20" t="s">
        <v>487</v>
      </c>
      <c r="K108" s="20" t="s">
        <v>436</v>
      </c>
      <c r="L108" s="20" t="s">
        <v>438</v>
      </c>
      <c r="M108" s="20" t="s">
        <v>371</v>
      </c>
      <c r="N108" s="20" t="s">
        <v>372</v>
      </c>
      <c r="O108" s="20" t="s">
        <v>45</v>
      </c>
      <c r="P108" s="20" t="s">
        <v>488</v>
      </c>
      <c r="Q108" s="20" t="s">
        <v>174</v>
      </c>
    </row>
    <row r="109" ht="60.0" customHeight="1">
      <c r="A109" s="4" t="s">
        <v>36</v>
      </c>
      <c r="C109" s="17" t="s">
        <v>183</v>
      </c>
      <c r="D109" s="17" t="s">
        <v>55</v>
      </c>
      <c r="E109" s="17"/>
      <c r="F109" s="17" t="s">
        <v>489</v>
      </c>
      <c r="G109" s="17" t="s">
        <v>67</v>
      </c>
      <c r="H109" s="17" t="s">
        <v>68</v>
      </c>
      <c r="I109" s="18">
        <v>1015.2</v>
      </c>
      <c r="J109" s="17" t="s">
        <v>490</v>
      </c>
      <c r="K109" s="17" t="s">
        <v>489</v>
      </c>
      <c r="L109" s="17" t="s">
        <v>285</v>
      </c>
      <c r="M109" s="17" t="s">
        <v>71</v>
      </c>
      <c r="N109" s="17" t="s">
        <v>249</v>
      </c>
      <c r="O109" s="17" t="s">
        <v>45</v>
      </c>
      <c r="P109" s="17" t="s">
        <v>491</v>
      </c>
      <c r="Q109" s="17" t="s">
        <v>287</v>
      </c>
    </row>
    <row r="110" ht="60.0" customHeight="1">
      <c r="A110" s="4" t="s">
        <v>168</v>
      </c>
      <c r="C110" s="17" t="s">
        <v>115</v>
      </c>
      <c r="D110" s="17" t="s">
        <v>55</v>
      </c>
      <c r="E110" s="17"/>
      <c r="F110" s="17" t="s">
        <v>445</v>
      </c>
      <c r="G110" s="17" t="s">
        <v>93</v>
      </c>
      <c r="H110" s="17" t="s">
        <v>94</v>
      </c>
      <c r="I110" s="18">
        <v>2753.42</v>
      </c>
      <c r="J110" s="17" t="s">
        <v>492</v>
      </c>
      <c r="K110" s="17" t="s">
        <v>445</v>
      </c>
      <c r="L110" s="17" t="s">
        <v>447</v>
      </c>
      <c r="M110" s="17" t="s">
        <v>142</v>
      </c>
      <c r="N110" s="17" t="s">
        <v>143</v>
      </c>
      <c r="O110" s="17" t="s">
        <v>45</v>
      </c>
      <c r="P110" s="17" t="s">
        <v>493</v>
      </c>
      <c r="Q110" s="17" t="s">
        <v>182</v>
      </c>
    </row>
    <row r="111" ht="60.0" customHeight="1">
      <c r="A111" s="22" t="s">
        <v>168</v>
      </c>
      <c r="B111" s="22"/>
      <c r="C111" s="20" t="s">
        <v>115</v>
      </c>
      <c r="D111" s="20" t="s">
        <v>55</v>
      </c>
      <c r="E111" s="20"/>
      <c r="F111" s="20" t="s">
        <v>494</v>
      </c>
      <c r="G111" s="20" t="s">
        <v>93</v>
      </c>
      <c r="H111" s="20" t="s">
        <v>94</v>
      </c>
      <c r="I111" s="21">
        <v>3161.88</v>
      </c>
      <c r="J111" s="20" t="s">
        <v>495</v>
      </c>
      <c r="K111" s="20" t="s">
        <v>494</v>
      </c>
      <c r="L111" s="20" t="s">
        <v>285</v>
      </c>
      <c r="M111" s="20" t="s">
        <v>71</v>
      </c>
      <c r="N111" s="20" t="s">
        <v>249</v>
      </c>
      <c r="O111" s="20" t="s">
        <v>45</v>
      </c>
      <c r="P111" s="20" t="s">
        <v>496</v>
      </c>
      <c r="Q111" s="20" t="s">
        <v>287</v>
      </c>
    </row>
    <row r="112" ht="60.0" customHeight="1">
      <c r="A112" s="4" t="s">
        <v>168</v>
      </c>
      <c r="C112" s="17" t="s">
        <v>108</v>
      </c>
      <c r="D112" s="17" t="s">
        <v>55</v>
      </c>
      <c r="E112" s="17"/>
      <c r="F112" s="17" t="s">
        <v>497</v>
      </c>
      <c r="G112" s="17" t="s">
        <v>57</v>
      </c>
      <c r="H112" s="17" t="s">
        <v>58</v>
      </c>
      <c r="I112" s="18">
        <v>3287.5</v>
      </c>
      <c r="J112" s="17" t="s">
        <v>498</v>
      </c>
      <c r="K112" s="17" t="s">
        <v>497</v>
      </c>
      <c r="L112" s="17" t="s">
        <v>499</v>
      </c>
      <c r="M112" s="17" t="s">
        <v>320</v>
      </c>
      <c r="N112" s="17" t="s">
        <v>500</v>
      </c>
      <c r="O112" s="17" t="s">
        <v>45</v>
      </c>
      <c r="P112" s="17" t="s">
        <v>501</v>
      </c>
      <c r="Q112" s="17" t="s">
        <v>502</v>
      </c>
    </row>
    <row r="113" ht="60.0" customHeight="1">
      <c r="A113" s="4" t="s">
        <v>168</v>
      </c>
      <c r="C113" s="20" t="s">
        <v>383</v>
      </c>
      <c r="D113" s="20" t="s">
        <v>55</v>
      </c>
      <c r="E113" s="20"/>
      <c r="F113" s="20" t="s">
        <v>503</v>
      </c>
      <c r="G113" s="20" t="s">
        <v>93</v>
      </c>
      <c r="H113" s="20" t="s">
        <v>94</v>
      </c>
      <c r="I113" s="21">
        <v>7402.3</v>
      </c>
      <c r="J113" s="20" t="s">
        <v>504</v>
      </c>
      <c r="K113" s="20" t="s">
        <v>503</v>
      </c>
      <c r="L113" s="20" t="s">
        <v>285</v>
      </c>
      <c r="M113" s="20" t="s">
        <v>71</v>
      </c>
      <c r="N113" s="20" t="s">
        <v>249</v>
      </c>
      <c r="O113" s="20" t="s">
        <v>45</v>
      </c>
      <c r="P113" s="20" t="s">
        <v>505</v>
      </c>
      <c r="Q113" s="20" t="s">
        <v>287</v>
      </c>
    </row>
    <row r="114" ht="60.0" customHeight="1">
      <c r="A114" s="4" t="s">
        <v>506</v>
      </c>
      <c r="C114" s="20" t="s">
        <v>290</v>
      </c>
      <c r="D114" s="20" t="s">
        <v>55</v>
      </c>
      <c r="E114" s="20"/>
      <c r="F114" s="20" t="s">
        <v>56</v>
      </c>
      <c r="G114" s="20" t="s">
        <v>93</v>
      </c>
      <c r="H114" s="20" t="s">
        <v>94</v>
      </c>
      <c r="I114" s="21">
        <v>2.21</v>
      </c>
      <c r="J114" s="20" t="s">
        <v>507</v>
      </c>
      <c r="K114" s="20" t="s">
        <v>56</v>
      </c>
      <c r="L114" s="20" t="s">
        <v>60</v>
      </c>
      <c r="M114" s="20" t="s">
        <v>61</v>
      </c>
      <c r="N114" s="20" t="s">
        <v>62</v>
      </c>
      <c r="O114" s="20" t="s">
        <v>45</v>
      </c>
      <c r="P114" s="20" t="s">
        <v>508</v>
      </c>
      <c r="Q114" s="20" t="s">
        <v>64</v>
      </c>
    </row>
    <row r="115" ht="60.0" customHeight="1">
      <c r="A115" s="4" t="s">
        <v>506</v>
      </c>
      <c r="C115" s="17" t="s">
        <v>54</v>
      </c>
      <c r="D115" s="17" t="s">
        <v>55</v>
      </c>
      <c r="E115" s="17"/>
      <c r="F115" s="17" t="s">
        <v>509</v>
      </c>
      <c r="G115" s="17" t="s">
        <v>149</v>
      </c>
      <c r="H115" s="17" t="s">
        <v>150</v>
      </c>
      <c r="I115" s="18">
        <v>2.59</v>
      </c>
      <c r="J115" s="17" t="s">
        <v>510</v>
      </c>
      <c r="K115" s="17" t="s">
        <v>509</v>
      </c>
      <c r="L115" s="17" t="s">
        <v>511</v>
      </c>
      <c r="M115" s="17" t="s">
        <v>512</v>
      </c>
      <c r="N115" s="17" t="s">
        <v>513</v>
      </c>
      <c r="O115" s="17" t="s">
        <v>45</v>
      </c>
      <c r="P115" s="17" t="s">
        <v>514</v>
      </c>
      <c r="Q115" s="17" t="s">
        <v>64</v>
      </c>
    </row>
    <row r="116" ht="60.0" customHeight="1">
      <c r="A116" s="4" t="s">
        <v>506</v>
      </c>
      <c r="C116" s="20" t="s">
        <v>37</v>
      </c>
      <c r="D116" s="20" t="s">
        <v>55</v>
      </c>
      <c r="E116" s="20"/>
      <c r="F116" s="20" t="s">
        <v>515</v>
      </c>
      <c r="G116" s="20" t="s">
        <v>127</v>
      </c>
      <c r="H116" s="20" t="s">
        <v>128</v>
      </c>
      <c r="I116" s="21">
        <v>4.04</v>
      </c>
      <c r="J116" s="20" t="s">
        <v>516</v>
      </c>
      <c r="K116" s="20" t="s">
        <v>515</v>
      </c>
      <c r="L116" s="20" t="s">
        <v>517</v>
      </c>
      <c r="M116" s="20" t="s">
        <v>142</v>
      </c>
      <c r="N116" s="20" t="s">
        <v>143</v>
      </c>
      <c r="O116" s="20" t="s">
        <v>45</v>
      </c>
      <c r="P116" s="20" t="s">
        <v>518</v>
      </c>
      <c r="Q116" s="20" t="s">
        <v>64</v>
      </c>
    </row>
    <row r="117" ht="60.0" customHeight="1">
      <c r="A117" s="4" t="s">
        <v>506</v>
      </c>
      <c r="C117" s="20" t="s">
        <v>290</v>
      </c>
      <c r="D117" s="20" t="s">
        <v>55</v>
      </c>
      <c r="E117" s="20"/>
      <c r="F117" s="20" t="s">
        <v>515</v>
      </c>
      <c r="G117" s="20" t="s">
        <v>127</v>
      </c>
      <c r="H117" s="20" t="s">
        <v>128</v>
      </c>
      <c r="I117" s="21">
        <v>5.05</v>
      </c>
      <c r="J117" s="20" t="s">
        <v>519</v>
      </c>
      <c r="K117" s="20" t="s">
        <v>515</v>
      </c>
      <c r="L117" s="20" t="s">
        <v>517</v>
      </c>
      <c r="M117" s="20" t="s">
        <v>142</v>
      </c>
      <c r="N117" s="20" t="s">
        <v>143</v>
      </c>
      <c r="O117" s="20" t="s">
        <v>45</v>
      </c>
      <c r="P117" s="20" t="s">
        <v>520</v>
      </c>
      <c r="Q117" s="20" t="s">
        <v>64</v>
      </c>
    </row>
    <row r="118" ht="60.0" customHeight="1">
      <c r="A118" s="4" t="s">
        <v>506</v>
      </c>
      <c r="C118" s="17" t="s">
        <v>123</v>
      </c>
      <c r="D118" s="17" t="s">
        <v>55</v>
      </c>
      <c r="E118" s="17"/>
      <c r="F118" s="17" t="s">
        <v>521</v>
      </c>
      <c r="G118" s="17" t="s">
        <v>149</v>
      </c>
      <c r="H118" s="17" t="s">
        <v>150</v>
      </c>
      <c r="I118" s="18">
        <v>5.64</v>
      </c>
      <c r="J118" s="17" t="s">
        <v>522</v>
      </c>
      <c r="K118" s="17" t="s">
        <v>521</v>
      </c>
      <c r="L118" s="17" t="s">
        <v>523</v>
      </c>
      <c r="M118" s="17" t="s">
        <v>524</v>
      </c>
      <c r="N118" s="17" t="s">
        <v>525</v>
      </c>
      <c r="O118" s="17" t="s">
        <v>45</v>
      </c>
      <c r="P118" s="17" t="s">
        <v>526</v>
      </c>
      <c r="Q118" s="17" t="s">
        <v>64</v>
      </c>
    </row>
    <row r="119" ht="60.0" customHeight="1">
      <c r="A119" s="4" t="s">
        <v>506</v>
      </c>
      <c r="B119" s="4" t="s">
        <v>527</v>
      </c>
      <c r="C119" s="20" t="s">
        <v>233</v>
      </c>
      <c r="D119" s="20" t="s">
        <v>55</v>
      </c>
      <c r="E119" s="20"/>
      <c r="F119" s="20" t="s">
        <v>528</v>
      </c>
      <c r="G119" s="20" t="s">
        <v>353</v>
      </c>
      <c r="H119" s="20" t="s">
        <v>354</v>
      </c>
      <c r="I119" s="21">
        <v>7.9</v>
      </c>
      <c r="J119" s="20" t="s">
        <v>529</v>
      </c>
      <c r="K119" s="20" t="s">
        <v>528</v>
      </c>
      <c r="L119" s="20" t="s">
        <v>530</v>
      </c>
      <c r="M119" s="20" t="s">
        <v>531</v>
      </c>
      <c r="N119" s="20" t="s">
        <v>532</v>
      </c>
      <c r="O119" s="20" t="s">
        <v>45</v>
      </c>
      <c r="P119" s="20" t="s">
        <v>533</v>
      </c>
      <c r="Q119" s="20" t="s">
        <v>534</v>
      </c>
    </row>
    <row r="120" ht="60.0" customHeight="1">
      <c r="A120" s="4" t="s">
        <v>506</v>
      </c>
      <c r="C120" s="20" t="s">
        <v>131</v>
      </c>
      <c r="D120" s="20" t="s">
        <v>55</v>
      </c>
      <c r="E120" s="20"/>
      <c r="F120" s="20" t="s">
        <v>535</v>
      </c>
      <c r="G120" s="20" t="s">
        <v>149</v>
      </c>
      <c r="H120" s="20" t="s">
        <v>150</v>
      </c>
      <c r="I120" s="21">
        <v>9.17</v>
      </c>
      <c r="J120" s="20" t="s">
        <v>536</v>
      </c>
      <c r="K120" s="20" t="s">
        <v>535</v>
      </c>
      <c r="L120" s="20" t="s">
        <v>537</v>
      </c>
      <c r="M120" s="20" t="s">
        <v>538</v>
      </c>
      <c r="N120" s="20" t="s">
        <v>539</v>
      </c>
      <c r="O120" s="20" t="s">
        <v>45</v>
      </c>
      <c r="P120" s="20" t="s">
        <v>540</v>
      </c>
      <c r="Q120" s="20" t="s">
        <v>74</v>
      </c>
    </row>
    <row r="121" ht="60.0" customHeight="1">
      <c r="A121" s="4" t="s">
        <v>506</v>
      </c>
      <c r="C121" s="17" t="s">
        <v>290</v>
      </c>
      <c r="D121" s="17" t="s">
        <v>55</v>
      </c>
      <c r="E121" s="17"/>
      <c r="F121" s="17" t="s">
        <v>541</v>
      </c>
      <c r="G121" s="17" t="s">
        <v>149</v>
      </c>
      <c r="H121" s="17" t="s">
        <v>150</v>
      </c>
      <c r="I121" s="18">
        <v>10.03</v>
      </c>
      <c r="J121" s="17" t="s">
        <v>542</v>
      </c>
      <c r="K121" s="17" t="s">
        <v>541</v>
      </c>
      <c r="L121" s="17" t="s">
        <v>537</v>
      </c>
      <c r="M121" s="17" t="s">
        <v>538</v>
      </c>
      <c r="N121" s="17" t="s">
        <v>539</v>
      </c>
      <c r="O121" s="17" t="s">
        <v>45</v>
      </c>
      <c r="P121" s="17" t="s">
        <v>543</v>
      </c>
      <c r="Q121" s="17" t="s">
        <v>74</v>
      </c>
    </row>
    <row r="122" ht="60.0" customHeight="1">
      <c r="A122" s="4" t="s">
        <v>506</v>
      </c>
      <c r="C122" s="17" t="s">
        <v>257</v>
      </c>
      <c r="D122" s="17" t="s">
        <v>55</v>
      </c>
      <c r="E122" s="17"/>
      <c r="F122" s="17" t="s">
        <v>544</v>
      </c>
      <c r="G122" s="17" t="s">
        <v>127</v>
      </c>
      <c r="H122" s="17" t="s">
        <v>128</v>
      </c>
      <c r="I122" s="18">
        <v>10.52</v>
      </c>
      <c r="J122" s="17" t="s">
        <v>545</v>
      </c>
      <c r="K122" s="17" t="s">
        <v>544</v>
      </c>
      <c r="L122" s="17" t="s">
        <v>546</v>
      </c>
      <c r="M122" s="17" t="s">
        <v>119</v>
      </c>
      <c r="N122" s="17" t="s">
        <v>231</v>
      </c>
      <c r="O122" s="17" t="s">
        <v>45</v>
      </c>
      <c r="P122" s="17" t="s">
        <v>547</v>
      </c>
      <c r="Q122" s="17" t="s">
        <v>174</v>
      </c>
    </row>
    <row r="123" ht="60.0" customHeight="1">
      <c r="A123" s="4" t="s">
        <v>506</v>
      </c>
      <c r="C123" s="17" t="s">
        <v>301</v>
      </c>
      <c r="D123" s="17" t="s">
        <v>55</v>
      </c>
      <c r="E123" s="17"/>
      <c r="F123" s="17" t="s">
        <v>548</v>
      </c>
      <c r="G123" s="17" t="s">
        <v>149</v>
      </c>
      <c r="H123" s="17" t="s">
        <v>150</v>
      </c>
      <c r="I123" s="18">
        <v>10.58</v>
      </c>
      <c r="J123" s="17" t="s">
        <v>549</v>
      </c>
      <c r="K123" s="17" t="s">
        <v>548</v>
      </c>
      <c r="L123" s="17" t="s">
        <v>550</v>
      </c>
      <c r="M123" s="17" t="s">
        <v>551</v>
      </c>
      <c r="N123" s="17" t="s">
        <v>552</v>
      </c>
      <c r="O123" s="17" t="s">
        <v>45</v>
      </c>
      <c r="P123" s="17" t="s">
        <v>553</v>
      </c>
      <c r="Q123" s="17" t="s">
        <v>64</v>
      </c>
    </row>
    <row r="124" ht="60.0" customHeight="1">
      <c r="A124" s="4" t="s">
        <v>506</v>
      </c>
      <c r="C124" s="20" t="s">
        <v>115</v>
      </c>
      <c r="D124" s="20" t="s">
        <v>55</v>
      </c>
      <c r="E124" s="20"/>
      <c r="F124" s="20" t="s">
        <v>554</v>
      </c>
      <c r="G124" s="20" t="s">
        <v>149</v>
      </c>
      <c r="H124" s="20" t="s">
        <v>150</v>
      </c>
      <c r="I124" s="21">
        <v>10.58</v>
      </c>
      <c r="J124" s="20" t="s">
        <v>555</v>
      </c>
      <c r="K124" s="20" t="s">
        <v>554</v>
      </c>
      <c r="L124" s="20" t="s">
        <v>188</v>
      </c>
      <c r="M124" s="20" t="s">
        <v>189</v>
      </c>
      <c r="N124" s="20" t="s">
        <v>190</v>
      </c>
      <c r="O124" s="20" t="s">
        <v>45</v>
      </c>
      <c r="P124" s="20" t="s">
        <v>556</v>
      </c>
      <c r="Q124" s="20" t="s">
        <v>64</v>
      </c>
    </row>
    <row r="125" ht="60.0" customHeight="1">
      <c r="A125" s="4" t="s">
        <v>506</v>
      </c>
      <c r="C125" s="17" t="s">
        <v>108</v>
      </c>
      <c r="D125" s="17" t="s">
        <v>55</v>
      </c>
      <c r="E125" s="17"/>
      <c r="F125" s="17" t="s">
        <v>557</v>
      </c>
      <c r="G125" s="17" t="s">
        <v>149</v>
      </c>
      <c r="H125" s="17" t="s">
        <v>150</v>
      </c>
      <c r="I125" s="18">
        <v>10.96</v>
      </c>
      <c r="J125" s="17" t="s">
        <v>558</v>
      </c>
      <c r="K125" s="17" t="s">
        <v>557</v>
      </c>
      <c r="L125" s="17" t="s">
        <v>188</v>
      </c>
      <c r="M125" s="17" t="s">
        <v>189</v>
      </c>
      <c r="N125" s="17" t="s">
        <v>190</v>
      </c>
      <c r="O125" s="17" t="s">
        <v>45</v>
      </c>
      <c r="P125" s="17" t="s">
        <v>559</v>
      </c>
      <c r="Q125" s="17" t="s">
        <v>64</v>
      </c>
    </row>
    <row r="126" ht="60.0" customHeight="1">
      <c r="A126" s="4" t="s">
        <v>506</v>
      </c>
      <c r="C126" s="17" t="s">
        <v>108</v>
      </c>
      <c r="D126" s="17" t="s">
        <v>55</v>
      </c>
      <c r="E126" s="17"/>
      <c r="F126" s="17" t="s">
        <v>560</v>
      </c>
      <c r="G126" s="17" t="s">
        <v>39</v>
      </c>
      <c r="H126" s="17" t="s">
        <v>40</v>
      </c>
      <c r="I126" s="18">
        <v>11.03</v>
      </c>
      <c r="J126" s="17" t="s">
        <v>561</v>
      </c>
      <c r="K126" s="17" t="s">
        <v>560</v>
      </c>
      <c r="L126" s="17" t="s">
        <v>562</v>
      </c>
      <c r="M126" s="17" t="s">
        <v>326</v>
      </c>
      <c r="N126" s="17" t="s">
        <v>563</v>
      </c>
      <c r="O126" s="17" t="s">
        <v>45</v>
      </c>
      <c r="P126" s="17" t="s">
        <v>564</v>
      </c>
      <c r="Q126" s="17" t="s">
        <v>64</v>
      </c>
    </row>
    <row r="127" ht="60.0" customHeight="1">
      <c r="A127" s="4" t="s">
        <v>506</v>
      </c>
      <c r="C127" s="17" t="s">
        <v>156</v>
      </c>
      <c r="D127" s="17" t="s">
        <v>55</v>
      </c>
      <c r="E127" s="17"/>
      <c r="F127" s="17" t="s">
        <v>565</v>
      </c>
      <c r="G127" s="17" t="s">
        <v>149</v>
      </c>
      <c r="H127" s="17" t="s">
        <v>150</v>
      </c>
      <c r="I127" s="18">
        <v>11.13</v>
      </c>
      <c r="J127" s="17" t="s">
        <v>566</v>
      </c>
      <c r="K127" s="17" t="s">
        <v>565</v>
      </c>
      <c r="L127" s="17" t="s">
        <v>567</v>
      </c>
      <c r="M127" s="17" t="s">
        <v>568</v>
      </c>
      <c r="N127" s="17" t="s">
        <v>569</v>
      </c>
      <c r="O127" s="17" t="s">
        <v>45</v>
      </c>
      <c r="P127" s="17" t="s">
        <v>570</v>
      </c>
      <c r="Q127" s="17" t="s">
        <v>122</v>
      </c>
    </row>
    <row r="128" ht="60.0" customHeight="1">
      <c r="A128" s="4" t="s">
        <v>506</v>
      </c>
      <c r="C128" s="20" t="s">
        <v>290</v>
      </c>
      <c r="D128" s="20" t="s">
        <v>55</v>
      </c>
      <c r="E128" s="20"/>
      <c r="F128" s="20" t="s">
        <v>509</v>
      </c>
      <c r="G128" s="20" t="s">
        <v>149</v>
      </c>
      <c r="H128" s="20" t="s">
        <v>150</v>
      </c>
      <c r="I128" s="21">
        <v>11.27</v>
      </c>
      <c r="J128" s="20" t="s">
        <v>571</v>
      </c>
      <c r="K128" s="20" t="s">
        <v>509</v>
      </c>
      <c r="L128" s="20" t="s">
        <v>511</v>
      </c>
      <c r="M128" s="20" t="s">
        <v>512</v>
      </c>
      <c r="N128" s="20" t="s">
        <v>513</v>
      </c>
      <c r="O128" s="20" t="s">
        <v>45</v>
      </c>
      <c r="P128" s="20" t="s">
        <v>572</v>
      </c>
      <c r="Q128" s="20" t="s">
        <v>64</v>
      </c>
    </row>
    <row r="129" ht="60.0" customHeight="1">
      <c r="A129" s="4" t="s">
        <v>506</v>
      </c>
      <c r="C129" s="17" t="s">
        <v>233</v>
      </c>
      <c r="D129" s="17" t="s">
        <v>55</v>
      </c>
      <c r="E129" s="17"/>
      <c r="F129" s="17" t="s">
        <v>573</v>
      </c>
      <c r="G129" s="17" t="s">
        <v>149</v>
      </c>
      <c r="H129" s="17" t="s">
        <v>150</v>
      </c>
      <c r="I129" s="18">
        <v>11.63</v>
      </c>
      <c r="J129" s="17" t="s">
        <v>574</v>
      </c>
      <c r="K129" s="17" t="s">
        <v>573</v>
      </c>
      <c r="L129" s="17" t="s">
        <v>575</v>
      </c>
      <c r="M129" s="17" t="s">
        <v>305</v>
      </c>
      <c r="N129" s="17" t="s">
        <v>576</v>
      </c>
      <c r="O129" s="17" t="s">
        <v>45</v>
      </c>
      <c r="P129" s="17" t="s">
        <v>577</v>
      </c>
      <c r="Q129" s="17" t="s">
        <v>114</v>
      </c>
    </row>
    <row r="130" ht="60.0" customHeight="1">
      <c r="A130" s="4" t="s">
        <v>506</v>
      </c>
      <c r="C130" s="17" t="s">
        <v>65</v>
      </c>
      <c r="D130" s="17" t="s">
        <v>55</v>
      </c>
      <c r="E130" s="17"/>
      <c r="F130" s="17" t="s">
        <v>192</v>
      </c>
      <c r="G130" s="17" t="s">
        <v>127</v>
      </c>
      <c r="H130" s="17" t="s">
        <v>128</v>
      </c>
      <c r="I130" s="18">
        <v>11.97</v>
      </c>
      <c r="J130" s="17" t="s">
        <v>578</v>
      </c>
      <c r="K130" s="17" t="s">
        <v>192</v>
      </c>
      <c r="L130" s="17" t="s">
        <v>194</v>
      </c>
      <c r="M130" s="17" t="s">
        <v>142</v>
      </c>
      <c r="N130" s="17" t="s">
        <v>166</v>
      </c>
      <c r="O130" s="17" t="s">
        <v>45</v>
      </c>
      <c r="P130" s="17" t="s">
        <v>579</v>
      </c>
      <c r="Q130" s="17" t="s">
        <v>114</v>
      </c>
    </row>
    <row r="131" ht="60.0" customHeight="1">
      <c r="A131" s="4" t="s">
        <v>506</v>
      </c>
      <c r="C131" s="17" t="s">
        <v>65</v>
      </c>
      <c r="D131" s="17" t="s">
        <v>55</v>
      </c>
      <c r="E131" s="17"/>
      <c r="F131" s="17" t="s">
        <v>580</v>
      </c>
      <c r="G131" s="17" t="s">
        <v>149</v>
      </c>
      <c r="H131" s="17" t="s">
        <v>150</v>
      </c>
      <c r="I131" s="18">
        <v>12.12</v>
      </c>
      <c r="J131" s="17" t="s">
        <v>581</v>
      </c>
      <c r="K131" s="17" t="s">
        <v>580</v>
      </c>
      <c r="L131" s="17" t="s">
        <v>582</v>
      </c>
      <c r="M131" s="17" t="s">
        <v>305</v>
      </c>
      <c r="N131" s="17" t="s">
        <v>583</v>
      </c>
      <c r="O131" s="17" t="s">
        <v>45</v>
      </c>
      <c r="P131" s="17" t="s">
        <v>584</v>
      </c>
      <c r="Q131" s="17" t="s">
        <v>534</v>
      </c>
    </row>
    <row r="132" ht="60.0" customHeight="1">
      <c r="A132" s="4" t="s">
        <v>506</v>
      </c>
      <c r="C132" s="17" t="s">
        <v>115</v>
      </c>
      <c r="D132" s="17" t="s">
        <v>55</v>
      </c>
      <c r="E132" s="17"/>
      <c r="F132" s="17" t="s">
        <v>92</v>
      </c>
      <c r="G132" s="17" t="s">
        <v>127</v>
      </c>
      <c r="H132" s="17" t="s">
        <v>128</v>
      </c>
      <c r="I132" s="18">
        <v>12.19</v>
      </c>
      <c r="J132" s="17" t="s">
        <v>585</v>
      </c>
      <c r="K132" s="17" t="s">
        <v>92</v>
      </c>
      <c r="L132" s="17" t="s">
        <v>96</v>
      </c>
      <c r="M132" s="17" t="s">
        <v>97</v>
      </c>
      <c r="N132" s="17" t="s">
        <v>98</v>
      </c>
      <c r="O132" s="17" t="s">
        <v>45</v>
      </c>
      <c r="P132" s="17" t="s">
        <v>586</v>
      </c>
      <c r="Q132" s="17" t="s">
        <v>64</v>
      </c>
    </row>
    <row r="133" ht="60.0" customHeight="1">
      <c r="A133" s="4" t="s">
        <v>506</v>
      </c>
      <c r="C133" s="17" t="s">
        <v>367</v>
      </c>
      <c r="D133" s="17" t="s">
        <v>55</v>
      </c>
      <c r="E133" s="17"/>
      <c r="F133" s="17" t="s">
        <v>587</v>
      </c>
      <c r="G133" s="17" t="s">
        <v>127</v>
      </c>
      <c r="H133" s="17" t="s">
        <v>128</v>
      </c>
      <c r="I133" s="18">
        <v>12.25</v>
      </c>
      <c r="J133" s="17" t="s">
        <v>588</v>
      </c>
      <c r="K133" s="17" t="s">
        <v>587</v>
      </c>
      <c r="L133" s="17" t="s">
        <v>589</v>
      </c>
      <c r="M133" s="17" t="s">
        <v>142</v>
      </c>
      <c r="N133" s="17" t="s">
        <v>166</v>
      </c>
      <c r="O133" s="17" t="s">
        <v>45</v>
      </c>
      <c r="P133" s="17" t="s">
        <v>590</v>
      </c>
      <c r="Q133" s="17" t="s">
        <v>64</v>
      </c>
    </row>
    <row r="134" ht="60.0" customHeight="1">
      <c r="A134" s="4" t="s">
        <v>506</v>
      </c>
      <c r="C134" s="20" t="s">
        <v>156</v>
      </c>
      <c r="D134" s="20" t="s">
        <v>55</v>
      </c>
      <c r="E134" s="20"/>
      <c r="F134" s="20" t="s">
        <v>92</v>
      </c>
      <c r="G134" s="20" t="s">
        <v>138</v>
      </c>
      <c r="H134" s="20" t="s">
        <v>139</v>
      </c>
      <c r="I134" s="21">
        <v>12.44</v>
      </c>
      <c r="J134" s="20" t="s">
        <v>591</v>
      </c>
      <c r="K134" s="20" t="s">
        <v>92</v>
      </c>
      <c r="L134" s="20" t="s">
        <v>208</v>
      </c>
      <c r="M134" s="20" t="s">
        <v>97</v>
      </c>
      <c r="N134" s="20" t="s">
        <v>98</v>
      </c>
      <c r="O134" s="20" t="s">
        <v>45</v>
      </c>
      <c r="P134" s="20" t="s">
        <v>592</v>
      </c>
      <c r="Q134" s="20" t="s">
        <v>64</v>
      </c>
    </row>
    <row r="135" ht="60.0" customHeight="1">
      <c r="A135" s="4" t="s">
        <v>506</v>
      </c>
      <c r="C135" s="17" t="s">
        <v>367</v>
      </c>
      <c r="D135" s="17" t="s">
        <v>55</v>
      </c>
      <c r="E135" s="17"/>
      <c r="F135" s="17" t="s">
        <v>593</v>
      </c>
      <c r="G135" s="17" t="s">
        <v>39</v>
      </c>
      <c r="H135" s="17" t="s">
        <v>40</v>
      </c>
      <c r="I135" s="18">
        <v>12.93</v>
      </c>
      <c r="J135" s="17" t="s">
        <v>594</v>
      </c>
      <c r="K135" s="17" t="s">
        <v>593</v>
      </c>
      <c r="L135" s="17" t="s">
        <v>595</v>
      </c>
      <c r="M135" s="17" t="s">
        <v>433</v>
      </c>
      <c r="N135" s="17" t="s">
        <v>434</v>
      </c>
      <c r="O135" s="17" t="s">
        <v>45</v>
      </c>
      <c r="P135" s="17" t="s">
        <v>596</v>
      </c>
      <c r="Q135" s="17" t="s">
        <v>174</v>
      </c>
    </row>
    <row r="136" ht="60.0" customHeight="1">
      <c r="A136" s="4" t="s">
        <v>506</v>
      </c>
      <c r="C136" s="17" t="s">
        <v>196</v>
      </c>
      <c r="D136" s="17" t="s">
        <v>55</v>
      </c>
      <c r="E136" s="17"/>
      <c r="F136" s="17" t="s">
        <v>92</v>
      </c>
      <c r="G136" s="17" t="s">
        <v>127</v>
      </c>
      <c r="H136" s="17" t="s">
        <v>128</v>
      </c>
      <c r="I136" s="18">
        <v>12.96</v>
      </c>
      <c r="J136" s="17" t="s">
        <v>597</v>
      </c>
      <c r="K136" s="17" t="s">
        <v>92</v>
      </c>
      <c r="L136" s="17" t="s">
        <v>96</v>
      </c>
      <c r="M136" s="17" t="s">
        <v>97</v>
      </c>
      <c r="N136" s="17" t="s">
        <v>98</v>
      </c>
      <c r="O136" s="17" t="s">
        <v>45</v>
      </c>
      <c r="P136" s="17" t="s">
        <v>598</v>
      </c>
      <c r="Q136" s="17" t="s">
        <v>64</v>
      </c>
    </row>
    <row r="137" ht="60.0" customHeight="1">
      <c r="A137" s="4" t="s">
        <v>506</v>
      </c>
      <c r="C137" s="20" t="s">
        <v>108</v>
      </c>
      <c r="D137" s="20" t="s">
        <v>55</v>
      </c>
      <c r="E137" s="20"/>
      <c r="F137" s="20" t="s">
        <v>599</v>
      </c>
      <c r="G137" s="20" t="s">
        <v>149</v>
      </c>
      <c r="H137" s="20" t="s">
        <v>150</v>
      </c>
      <c r="I137" s="21">
        <v>13.29</v>
      </c>
      <c r="J137" s="20" t="s">
        <v>600</v>
      </c>
      <c r="K137" s="20" t="s">
        <v>599</v>
      </c>
      <c r="L137" s="20" t="s">
        <v>601</v>
      </c>
      <c r="M137" s="20" t="s">
        <v>305</v>
      </c>
      <c r="N137" s="20" t="s">
        <v>583</v>
      </c>
      <c r="O137" s="20" t="s">
        <v>45</v>
      </c>
      <c r="P137" s="20" t="s">
        <v>602</v>
      </c>
      <c r="Q137" s="20" t="s">
        <v>122</v>
      </c>
    </row>
    <row r="138" ht="60.0" customHeight="1">
      <c r="A138" s="4" t="s">
        <v>506</v>
      </c>
      <c r="C138" s="20" t="s">
        <v>54</v>
      </c>
      <c r="D138" s="20" t="s">
        <v>55</v>
      </c>
      <c r="E138" s="20"/>
      <c r="F138" s="20" t="s">
        <v>360</v>
      </c>
      <c r="G138" s="20" t="s">
        <v>57</v>
      </c>
      <c r="H138" s="20" t="s">
        <v>58</v>
      </c>
      <c r="I138" s="21">
        <v>13.42</v>
      </c>
      <c r="J138" s="20" t="s">
        <v>603</v>
      </c>
      <c r="K138" s="20" t="s">
        <v>360</v>
      </c>
      <c r="L138" s="20" t="s">
        <v>60</v>
      </c>
      <c r="M138" s="20" t="s">
        <v>61</v>
      </c>
      <c r="N138" s="20" t="s">
        <v>62</v>
      </c>
      <c r="O138" s="20" t="s">
        <v>45</v>
      </c>
      <c r="P138" s="20" t="s">
        <v>604</v>
      </c>
      <c r="Q138" s="20" t="s">
        <v>64</v>
      </c>
    </row>
    <row r="139" ht="60.0" customHeight="1">
      <c r="A139" s="4" t="s">
        <v>506</v>
      </c>
      <c r="C139" s="20" t="s">
        <v>183</v>
      </c>
      <c r="D139" s="20" t="s">
        <v>55</v>
      </c>
      <c r="E139" s="20"/>
      <c r="F139" s="20" t="s">
        <v>605</v>
      </c>
      <c r="G139" s="20" t="s">
        <v>39</v>
      </c>
      <c r="H139" s="20" t="s">
        <v>40</v>
      </c>
      <c r="I139" s="21">
        <v>13.68</v>
      </c>
      <c r="J139" s="20" t="s">
        <v>606</v>
      </c>
      <c r="K139" s="20" t="s">
        <v>605</v>
      </c>
      <c r="L139" s="20" t="s">
        <v>607</v>
      </c>
      <c r="M139" s="20" t="s">
        <v>119</v>
      </c>
      <c r="N139" s="20" t="s">
        <v>120</v>
      </c>
      <c r="O139" s="20" t="s">
        <v>45</v>
      </c>
      <c r="P139" s="20" t="s">
        <v>608</v>
      </c>
      <c r="Q139" s="20" t="s">
        <v>609</v>
      </c>
    </row>
    <row r="140" ht="60.0" customHeight="1">
      <c r="A140" s="4" t="s">
        <v>506</v>
      </c>
      <c r="C140" s="20" t="s">
        <v>196</v>
      </c>
      <c r="D140" s="20" t="s">
        <v>55</v>
      </c>
      <c r="E140" s="20"/>
      <c r="F140" s="20" t="s">
        <v>610</v>
      </c>
      <c r="G140" s="20" t="s">
        <v>149</v>
      </c>
      <c r="H140" s="20" t="s">
        <v>150</v>
      </c>
      <c r="I140" s="21">
        <v>13.77</v>
      </c>
      <c r="J140" s="20" t="s">
        <v>611</v>
      </c>
      <c r="K140" s="20" t="s">
        <v>610</v>
      </c>
      <c r="L140" s="20" t="s">
        <v>612</v>
      </c>
      <c r="M140" s="20" t="s">
        <v>613</v>
      </c>
      <c r="N140" s="20" t="s">
        <v>614</v>
      </c>
      <c r="O140" s="20" t="s">
        <v>45</v>
      </c>
      <c r="P140" s="20" t="s">
        <v>615</v>
      </c>
      <c r="Q140" s="20" t="s">
        <v>122</v>
      </c>
    </row>
    <row r="141" ht="60.0" customHeight="1">
      <c r="A141" s="4" t="s">
        <v>506</v>
      </c>
      <c r="C141" s="20" t="s">
        <v>65</v>
      </c>
      <c r="D141" s="20" t="s">
        <v>55</v>
      </c>
      <c r="E141" s="20"/>
      <c r="F141" s="20" t="s">
        <v>616</v>
      </c>
      <c r="G141" s="20" t="s">
        <v>149</v>
      </c>
      <c r="H141" s="20" t="s">
        <v>150</v>
      </c>
      <c r="I141" s="21">
        <v>13.94</v>
      </c>
      <c r="J141" s="20" t="s">
        <v>617</v>
      </c>
      <c r="K141" s="20" t="s">
        <v>616</v>
      </c>
      <c r="L141" s="20" t="s">
        <v>618</v>
      </c>
      <c r="M141" s="20" t="s">
        <v>619</v>
      </c>
      <c r="N141" s="20" t="s">
        <v>620</v>
      </c>
      <c r="O141" s="20" t="s">
        <v>45</v>
      </c>
      <c r="P141" s="20" t="s">
        <v>621</v>
      </c>
      <c r="Q141" s="20" t="s">
        <v>122</v>
      </c>
    </row>
    <row r="142" ht="60.0" customHeight="1">
      <c r="A142" s="4" t="s">
        <v>506</v>
      </c>
      <c r="C142" s="17" t="s">
        <v>115</v>
      </c>
      <c r="D142" s="17" t="s">
        <v>55</v>
      </c>
      <c r="E142" s="17"/>
      <c r="F142" s="17" t="s">
        <v>451</v>
      </c>
      <c r="G142" s="17" t="s">
        <v>149</v>
      </c>
      <c r="H142" s="17" t="s">
        <v>150</v>
      </c>
      <c r="I142" s="18">
        <v>13.99</v>
      </c>
      <c r="J142" s="17" t="s">
        <v>622</v>
      </c>
      <c r="K142" s="17" t="s">
        <v>451</v>
      </c>
      <c r="L142" s="17" t="s">
        <v>453</v>
      </c>
      <c r="M142" s="17" t="s">
        <v>454</v>
      </c>
      <c r="N142" s="17" t="s">
        <v>455</v>
      </c>
      <c r="O142" s="17" t="s">
        <v>45</v>
      </c>
      <c r="P142" s="17" t="s">
        <v>623</v>
      </c>
      <c r="Q142" s="17" t="s">
        <v>64</v>
      </c>
    </row>
    <row r="143" ht="60.0" customHeight="1">
      <c r="A143" s="4" t="s">
        <v>506</v>
      </c>
      <c r="C143" s="20" t="s">
        <v>65</v>
      </c>
      <c r="D143" s="20" t="s">
        <v>55</v>
      </c>
      <c r="E143" s="20"/>
      <c r="F143" s="20" t="s">
        <v>92</v>
      </c>
      <c r="G143" s="20" t="s">
        <v>127</v>
      </c>
      <c r="H143" s="20" t="s">
        <v>128</v>
      </c>
      <c r="I143" s="21">
        <v>15.03</v>
      </c>
      <c r="J143" s="20" t="s">
        <v>624</v>
      </c>
      <c r="K143" s="20" t="s">
        <v>92</v>
      </c>
      <c r="L143" s="20" t="s">
        <v>96</v>
      </c>
      <c r="M143" s="20" t="s">
        <v>97</v>
      </c>
      <c r="N143" s="20" t="s">
        <v>98</v>
      </c>
      <c r="O143" s="20" t="s">
        <v>45</v>
      </c>
      <c r="P143" s="20" t="s">
        <v>625</v>
      </c>
      <c r="Q143" s="20" t="s">
        <v>64</v>
      </c>
    </row>
    <row r="144" ht="60.0" customHeight="1">
      <c r="A144" s="4" t="s">
        <v>506</v>
      </c>
      <c r="C144" s="17" t="s">
        <v>65</v>
      </c>
      <c r="D144" s="17" t="s">
        <v>55</v>
      </c>
      <c r="E144" s="17"/>
      <c r="F144" s="17" t="s">
        <v>509</v>
      </c>
      <c r="G144" s="17" t="s">
        <v>149</v>
      </c>
      <c r="H144" s="17" t="s">
        <v>150</v>
      </c>
      <c r="I144" s="18">
        <v>15.17</v>
      </c>
      <c r="J144" s="17" t="s">
        <v>626</v>
      </c>
      <c r="K144" s="17" t="s">
        <v>509</v>
      </c>
      <c r="L144" s="17" t="s">
        <v>511</v>
      </c>
      <c r="M144" s="17" t="s">
        <v>512</v>
      </c>
      <c r="N144" s="17" t="s">
        <v>513</v>
      </c>
      <c r="O144" s="17" t="s">
        <v>45</v>
      </c>
      <c r="P144" s="17" t="s">
        <v>627</v>
      </c>
      <c r="Q144" s="17" t="s">
        <v>64</v>
      </c>
    </row>
    <row r="145" ht="60.0" customHeight="1">
      <c r="A145" s="4" t="s">
        <v>506</v>
      </c>
      <c r="C145" s="17" t="s">
        <v>54</v>
      </c>
      <c r="D145" s="17" t="s">
        <v>55</v>
      </c>
      <c r="E145" s="17"/>
      <c r="F145" s="17" t="s">
        <v>92</v>
      </c>
      <c r="G145" s="17" t="s">
        <v>93</v>
      </c>
      <c r="H145" s="17" t="s">
        <v>94</v>
      </c>
      <c r="I145" s="18">
        <v>15.73</v>
      </c>
      <c r="J145" s="17" t="s">
        <v>628</v>
      </c>
      <c r="K145" s="17" t="s">
        <v>92</v>
      </c>
      <c r="L145" s="17" t="s">
        <v>96</v>
      </c>
      <c r="M145" s="17" t="s">
        <v>97</v>
      </c>
      <c r="N145" s="17" t="s">
        <v>98</v>
      </c>
      <c r="O145" s="17" t="s">
        <v>45</v>
      </c>
      <c r="P145" s="17" t="s">
        <v>629</v>
      </c>
      <c r="Q145" s="17" t="s">
        <v>64</v>
      </c>
    </row>
    <row r="146" ht="60.0" customHeight="1">
      <c r="A146" s="4" t="s">
        <v>506</v>
      </c>
      <c r="C146" s="17" t="s">
        <v>147</v>
      </c>
      <c r="D146" s="17" t="s">
        <v>55</v>
      </c>
      <c r="E146" s="17"/>
      <c r="F146" s="17" t="s">
        <v>630</v>
      </c>
      <c r="G146" s="17" t="s">
        <v>39</v>
      </c>
      <c r="H146" s="17" t="s">
        <v>40</v>
      </c>
      <c r="I146" s="18">
        <v>15.78</v>
      </c>
      <c r="J146" s="17" t="s">
        <v>631</v>
      </c>
      <c r="K146" s="17" t="s">
        <v>630</v>
      </c>
      <c r="L146" s="17" t="s">
        <v>632</v>
      </c>
      <c r="M146" s="17" t="s">
        <v>633</v>
      </c>
      <c r="N146" s="17" t="s">
        <v>634</v>
      </c>
      <c r="O146" s="17" t="s">
        <v>45</v>
      </c>
      <c r="P146" s="17" t="s">
        <v>635</v>
      </c>
      <c r="Q146" s="17" t="s">
        <v>174</v>
      </c>
    </row>
    <row r="147" ht="60.0" customHeight="1">
      <c r="A147" s="4" t="s">
        <v>506</v>
      </c>
      <c r="C147" s="20" t="s">
        <v>54</v>
      </c>
      <c r="D147" s="20" t="s">
        <v>55</v>
      </c>
      <c r="E147" s="20"/>
      <c r="F147" s="20" t="s">
        <v>636</v>
      </c>
      <c r="G147" s="20" t="s">
        <v>127</v>
      </c>
      <c r="H147" s="20" t="s">
        <v>128</v>
      </c>
      <c r="I147" s="21">
        <v>15.92</v>
      </c>
      <c r="J147" s="20" t="s">
        <v>637</v>
      </c>
      <c r="K147" s="20" t="s">
        <v>636</v>
      </c>
      <c r="L147" s="20" t="s">
        <v>638</v>
      </c>
      <c r="M147" s="20" t="s">
        <v>613</v>
      </c>
      <c r="N147" s="20" t="s">
        <v>614</v>
      </c>
      <c r="O147" s="20" t="s">
        <v>45</v>
      </c>
      <c r="P147" s="20" t="s">
        <v>639</v>
      </c>
      <c r="Q147" s="20" t="s">
        <v>74</v>
      </c>
    </row>
    <row r="148" ht="60.0" customHeight="1">
      <c r="A148" s="4" t="s">
        <v>506</v>
      </c>
      <c r="C148" s="20" t="s">
        <v>54</v>
      </c>
      <c r="D148" s="20" t="s">
        <v>55</v>
      </c>
      <c r="E148" s="20"/>
      <c r="F148" s="20" t="s">
        <v>640</v>
      </c>
      <c r="G148" s="20" t="s">
        <v>149</v>
      </c>
      <c r="H148" s="20" t="s">
        <v>150</v>
      </c>
      <c r="I148" s="21">
        <v>16.15</v>
      </c>
      <c r="J148" s="20" t="s">
        <v>641</v>
      </c>
      <c r="K148" s="20" t="s">
        <v>640</v>
      </c>
      <c r="L148" s="20" t="s">
        <v>642</v>
      </c>
      <c r="M148" s="20" t="s">
        <v>305</v>
      </c>
      <c r="N148" s="20" t="s">
        <v>583</v>
      </c>
      <c r="O148" s="20" t="s">
        <v>45</v>
      </c>
      <c r="P148" s="20" t="s">
        <v>643</v>
      </c>
      <c r="Q148" s="20" t="s">
        <v>417</v>
      </c>
    </row>
    <row r="149" ht="60.0" customHeight="1">
      <c r="A149" s="4" t="s">
        <v>506</v>
      </c>
      <c r="C149" s="17" t="s">
        <v>196</v>
      </c>
      <c r="D149" s="17" t="s">
        <v>55</v>
      </c>
      <c r="E149" s="17"/>
      <c r="F149" s="17" t="s">
        <v>644</v>
      </c>
      <c r="G149" s="17" t="s">
        <v>93</v>
      </c>
      <c r="H149" s="17" t="s">
        <v>94</v>
      </c>
      <c r="I149" s="18">
        <v>16.64</v>
      </c>
      <c r="J149" s="17" t="s">
        <v>645</v>
      </c>
      <c r="K149" s="17" t="s">
        <v>644</v>
      </c>
      <c r="L149" s="17" t="s">
        <v>646</v>
      </c>
      <c r="M149" s="17" t="s">
        <v>647</v>
      </c>
      <c r="N149" s="17" t="s">
        <v>648</v>
      </c>
      <c r="O149" s="17" t="s">
        <v>45</v>
      </c>
      <c r="P149" s="17" t="s">
        <v>649</v>
      </c>
      <c r="Q149" s="17" t="s">
        <v>74</v>
      </c>
    </row>
    <row r="150" ht="60.0" customHeight="1">
      <c r="A150" s="4" t="s">
        <v>506</v>
      </c>
      <c r="C150" s="17" t="s">
        <v>115</v>
      </c>
      <c r="D150" s="17" t="s">
        <v>55</v>
      </c>
      <c r="E150" s="17"/>
      <c r="F150" s="17" t="s">
        <v>650</v>
      </c>
      <c r="G150" s="17" t="s">
        <v>39</v>
      </c>
      <c r="H150" s="17" t="s">
        <v>40</v>
      </c>
      <c r="I150" s="18">
        <v>17.87</v>
      </c>
      <c r="J150" s="17" t="s">
        <v>651</v>
      </c>
      <c r="K150" s="17" t="s">
        <v>650</v>
      </c>
      <c r="L150" s="17" t="s">
        <v>652</v>
      </c>
      <c r="M150" s="17" t="s">
        <v>119</v>
      </c>
      <c r="N150" s="17" t="s">
        <v>653</v>
      </c>
      <c r="O150" s="17" t="s">
        <v>45</v>
      </c>
      <c r="P150" s="17" t="s">
        <v>654</v>
      </c>
      <c r="Q150" s="17" t="s">
        <v>182</v>
      </c>
    </row>
    <row r="151" ht="60.0" customHeight="1">
      <c r="A151" s="4" t="s">
        <v>506</v>
      </c>
      <c r="C151" s="17" t="s">
        <v>147</v>
      </c>
      <c r="D151" s="17" t="s">
        <v>55</v>
      </c>
      <c r="E151" s="17"/>
      <c r="F151" s="17" t="s">
        <v>655</v>
      </c>
      <c r="G151" s="17" t="s">
        <v>39</v>
      </c>
      <c r="H151" s="17" t="s">
        <v>40</v>
      </c>
      <c r="I151" s="18">
        <v>18.4</v>
      </c>
      <c r="J151" s="17" t="s">
        <v>656</v>
      </c>
      <c r="K151" s="17" t="s">
        <v>655</v>
      </c>
      <c r="L151" s="17" t="s">
        <v>657</v>
      </c>
      <c r="M151" s="17" t="s">
        <v>371</v>
      </c>
      <c r="N151" s="17" t="s">
        <v>372</v>
      </c>
      <c r="O151" s="17" t="s">
        <v>45</v>
      </c>
      <c r="P151" s="17" t="s">
        <v>658</v>
      </c>
      <c r="Q151" s="17" t="s">
        <v>174</v>
      </c>
    </row>
    <row r="152" ht="60.0" customHeight="1">
      <c r="A152" s="4" t="s">
        <v>506</v>
      </c>
      <c r="C152" s="20" t="s">
        <v>183</v>
      </c>
      <c r="D152" s="20" t="s">
        <v>55</v>
      </c>
      <c r="E152" s="20"/>
      <c r="F152" s="20" t="s">
        <v>92</v>
      </c>
      <c r="G152" s="20" t="s">
        <v>93</v>
      </c>
      <c r="H152" s="20" t="s">
        <v>94</v>
      </c>
      <c r="I152" s="21">
        <v>19.94</v>
      </c>
      <c r="J152" s="20" t="s">
        <v>659</v>
      </c>
      <c r="K152" s="20" t="s">
        <v>92</v>
      </c>
      <c r="L152" s="20" t="s">
        <v>208</v>
      </c>
      <c r="M152" s="20" t="s">
        <v>97</v>
      </c>
      <c r="N152" s="20" t="s">
        <v>98</v>
      </c>
      <c r="O152" s="20" t="s">
        <v>45</v>
      </c>
      <c r="P152" s="20" t="s">
        <v>660</v>
      </c>
      <c r="Q152" s="20" t="s">
        <v>64</v>
      </c>
    </row>
    <row r="153" ht="60.0" customHeight="1">
      <c r="A153" s="4" t="s">
        <v>506</v>
      </c>
      <c r="C153" s="20" t="s">
        <v>156</v>
      </c>
      <c r="D153" s="20" t="s">
        <v>55</v>
      </c>
      <c r="E153" s="20"/>
      <c r="F153" s="20" t="s">
        <v>157</v>
      </c>
      <c r="G153" s="20" t="s">
        <v>39</v>
      </c>
      <c r="H153" s="20" t="s">
        <v>40</v>
      </c>
      <c r="I153" s="21">
        <v>20.0</v>
      </c>
      <c r="J153" s="20" t="s">
        <v>661</v>
      </c>
      <c r="K153" s="20" t="s">
        <v>159</v>
      </c>
      <c r="L153" s="20" t="s">
        <v>86</v>
      </c>
      <c r="M153" s="20" t="s">
        <v>87</v>
      </c>
      <c r="N153" s="20" t="s">
        <v>88</v>
      </c>
      <c r="O153" s="20" t="s">
        <v>45</v>
      </c>
      <c r="P153" s="20" t="s">
        <v>662</v>
      </c>
      <c r="Q153" s="20" t="s">
        <v>90</v>
      </c>
    </row>
    <row r="154" ht="60.0" customHeight="1">
      <c r="A154" s="4" t="s">
        <v>506</v>
      </c>
      <c r="C154" s="20" t="s">
        <v>233</v>
      </c>
      <c r="D154" s="20" t="s">
        <v>55</v>
      </c>
      <c r="E154" s="20"/>
      <c r="F154" s="20" t="s">
        <v>587</v>
      </c>
      <c r="G154" s="20" t="s">
        <v>127</v>
      </c>
      <c r="H154" s="20" t="s">
        <v>128</v>
      </c>
      <c r="I154" s="21">
        <v>20.33</v>
      </c>
      <c r="J154" s="20" t="s">
        <v>663</v>
      </c>
      <c r="K154" s="20" t="s">
        <v>587</v>
      </c>
      <c r="L154" s="20" t="s">
        <v>589</v>
      </c>
      <c r="M154" s="20" t="s">
        <v>142</v>
      </c>
      <c r="N154" s="20" t="s">
        <v>166</v>
      </c>
      <c r="O154" s="20" t="s">
        <v>45</v>
      </c>
      <c r="P154" s="20" t="s">
        <v>664</v>
      </c>
      <c r="Q154" s="20" t="s">
        <v>64</v>
      </c>
    </row>
    <row r="155" ht="60.0" customHeight="1">
      <c r="A155" s="4" t="s">
        <v>506</v>
      </c>
      <c r="C155" s="17" t="s">
        <v>83</v>
      </c>
      <c r="D155" s="17" t="s">
        <v>55</v>
      </c>
      <c r="E155" s="17"/>
      <c r="F155" s="17" t="s">
        <v>665</v>
      </c>
      <c r="G155" s="17" t="s">
        <v>127</v>
      </c>
      <c r="H155" s="17" t="s">
        <v>128</v>
      </c>
      <c r="I155" s="18">
        <v>21.01</v>
      </c>
      <c r="J155" s="17" t="s">
        <v>666</v>
      </c>
      <c r="K155" s="17" t="s">
        <v>665</v>
      </c>
      <c r="L155" s="17" t="s">
        <v>667</v>
      </c>
      <c r="M155" s="17" t="s">
        <v>142</v>
      </c>
      <c r="N155" s="17" t="s">
        <v>180</v>
      </c>
      <c r="O155" s="17" t="s">
        <v>45</v>
      </c>
      <c r="P155" s="17" t="s">
        <v>668</v>
      </c>
      <c r="Q155" s="17" t="s">
        <v>174</v>
      </c>
    </row>
    <row r="156" ht="60.0" customHeight="1">
      <c r="A156" s="4" t="s">
        <v>506</v>
      </c>
      <c r="C156" s="17" t="s">
        <v>83</v>
      </c>
      <c r="D156" s="17" t="s">
        <v>55</v>
      </c>
      <c r="E156" s="17"/>
      <c r="F156" s="17" t="s">
        <v>669</v>
      </c>
      <c r="G156" s="17" t="s">
        <v>149</v>
      </c>
      <c r="H156" s="17" t="s">
        <v>150</v>
      </c>
      <c r="I156" s="18">
        <v>21.03</v>
      </c>
      <c r="J156" s="17" t="s">
        <v>670</v>
      </c>
      <c r="K156" s="17" t="s">
        <v>669</v>
      </c>
      <c r="L156" s="17" t="s">
        <v>671</v>
      </c>
      <c r="M156" s="17" t="s">
        <v>119</v>
      </c>
      <c r="N156" s="17" t="s">
        <v>672</v>
      </c>
      <c r="O156" s="17" t="s">
        <v>45</v>
      </c>
      <c r="P156" s="17" t="s">
        <v>673</v>
      </c>
      <c r="Q156" s="17" t="s">
        <v>182</v>
      </c>
    </row>
    <row r="157" ht="60.0" customHeight="1">
      <c r="A157" s="4" t="s">
        <v>506</v>
      </c>
      <c r="C157" s="20" t="s">
        <v>83</v>
      </c>
      <c r="D157" s="20" t="s">
        <v>55</v>
      </c>
      <c r="E157" s="20"/>
      <c r="F157" s="20" t="s">
        <v>674</v>
      </c>
      <c r="G157" s="20" t="s">
        <v>149</v>
      </c>
      <c r="H157" s="20" t="s">
        <v>150</v>
      </c>
      <c r="I157" s="21">
        <v>21.59</v>
      </c>
      <c r="J157" s="20" t="s">
        <v>675</v>
      </c>
      <c r="K157" s="20" t="s">
        <v>674</v>
      </c>
      <c r="L157" s="20" t="s">
        <v>676</v>
      </c>
      <c r="M157" s="20" t="s">
        <v>119</v>
      </c>
      <c r="N157" s="20" t="s">
        <v>120</v>
      </c>
      <c r="O157" s="20" t="s">
        <v>45</v>
      </c>
      <c r="P157" s="20" t="s">
        <v>677</v>
      </c>
      <c r="Q157" s="20" t="s">
        <v>122</v>
      </c>
    </row>
    <row r="158" ht="60.0" customHeight="1">
      <c r="A158" s="4" t="s">
        <v>506</v>
      </c>
      <c r="C158" s="17" t="s">
        <v>131</v>
      </c>
      <c r="D158" s="17" t="s">
        <v>55</v>
      </c>
      <c r="E158" s="17"/>
      <c r="F158" s="17" t="s">
        <v>674</v>
      </c>
      <c r="G158" s="17" t="s">
        <v>149</v>
      </c>
      <c r="H158" s="17" t="s">
        <v>150</v>
      </c>
      <c r="I158" s="18">
        <v>21.85</v>
      </c>
      <c r="J158" s="17" t="s">
        <v>678</v>
      </c>
      <c r="K158" s="17" t="s">
        <v>674</v>
      </c>
      <c r="L158" s="17" t="s">
        <v>676</v>
      </c>
      <c r="M158" s="17" t="s">
        <v>119</v>
      </c>
      <c r="N158" s="17" t="s">
        <v>120</v>
      </c>
      <c r="O158" s="17" t="s">
        <v>45</v>
      </c>
      <c r="P158" s="17" t="s">
        <v>679</v>
      </c>
      <c r="Q158" s="17" t="s">
        <v>122</v>
      </c>
    </row>
    <row r="159" ht="60.0" customHeight="1">
      <c r="A159" s="4" t="s">
        <v>506</v>
      </c>
      <c r="C159" s="17" t="s">
        <v>196</v>
      </c>
      <c r="D159" s="17" t="s">
        <v>55</v>
      </c>
      <c r="E159" s="17"/>
      <c r="F159" s="17" t="s">
        <v>680</v>
      </c>
      <c r="G159" s="17" t="s">
        <v>127</v>
      </c>
      <c r="H159" s="17" t="s">
        <v>128</v>
      </c>
      <c r="I159" s="18">
        <v>22.17</v>
      </c>
      <c r="J159" s="17" t="s">
        <v>681</v>
      </c>
      <c r="K159" s="17" t="s">
        <v>680</v>
      </c>
      <c r="L159" s="17" t="s">
        <v>682</v>
      </c>
      <c r="M159" s="17" t="s">
        <v>142</v>
      </c>
      <c r="N159" s="17" t="s">
        <v>166</v>
      </c>
      <c r="O159" s="17" t="s">
        <v>45</v>
      </c>
      <c r="P159" s="17" t="s">
        <v>683</v>
      </c>
      <c r="Q159" s="17" t="s">
        <v>122</v>
      </c>
    </row>
    <row r="160" ht="60.0" customHeight="1">
      <c r="A160" s="4" t="s">
        <v>506</v>
      </c>
      <c r="C160" s="20" t="s">
        <v>183</v>
      </c>
      <c r="D160" s="20" t="s">
        <v>55</v>
      </c>
      <c r="E160" s="20"/>
      <c r="F160" s="20" t="s">
        <v>684</v>
      </c>
      <c r="G160" s="20" t="s">
        <v>39</v>
      </c>
      <c r="H160" s="20" t="s">
        <v>40</v>
      </c>
      <c r="I160" s="21">
        <v>22.36</v>
      </c>
      <c r="J160" s="20" t="s">
        <v>685</v>
      </c>
      <c r="K160" s="20" t="s">
        <v>684</v>
      </c>
      <c r="L160" s="20" t="s">
        <v>686</v>
      </c>
      <c r="M160" s="20" t="s">
        <v>687</v>
      </c>
      <c r="N160" s="20" t="s">
        <v>688</v>
      </c>
      <c r="O160" s="20" t="s">
        <v>45</v>
      </c>
      <c r="P160" s="20" t="s">
        <v>689</v>
      </c>
      <c r="Q160" s="20" t="s">
        <v>74</v>
      </c>
    </row>
    <row r="161" ht="60.0" customHeight="1">
      <c r="A161" s="4" t="s">
        <v>506</v>
      </c>
      <c r="C161" s="20" t="s">
        <v>115</v>
      </c>
      <c r="D161" s="20" t="s">
        <v>55</v>
      </c>
      <c r="E161" s="20"/>
      <c r="F161" s="20" t="s">
        <v>92</v>
      </c>
      <c r="G161" s="20" t="s">
        <v>93</v>
      </c>
      <c r="H161" s="20" t="s">
        <v>94</v>
      </c>
      <c r="I161" s="21">
        <v>22.47</v>
      </c>
      <c r="J161" s="20" t="s">
        <v>690</v>
      </c>
      <c r="K161" s="20" t="s">
        <v>92</v>
      </c>
      <c r="L161" s="20" t="s">
        <v>208</v>
      </c>
      <c r="M161" s="20" t="s">
        <v>97</v>
      </c>
      <c r="N161" s="20" t="s">
        <v>98</v>
      </c>
      <c r="O161" s="20" t="s">
        <v>45</v>
      </c>
      <c r="P161" s="20" t="s">
        <v>691</v>
      </c>
      <c r="Q161" s="20" t="s">
        <v>64</v>
      </c>
    </row>
    <row r="162" ht="60.0" customHeight="1">
      <c r="A162" s="4" t="s">
        <v>506</v>
      </c>
      <c r="C162" s="17" t="s">
        <v>156</v>
      </c>
      <c r="D162" s="17" t="s">
        <v>55</v>
      </c>
      <c r="E162" s="17"/>
      <c r="F162" s="17" t="s">
        <v>636</v>
      </c>
      <c r="G162" s="17" t="s">
        <v>127</v>
      </c>
      <c r="H162" s="17" t="s">
        <v>128</v>
      </c>
      <c r="I162" s="18">
        <v>22.64</v>
      </c>
      <c r="J162" s="17" t="s">
        <v>692</v>
      </c>
      <c r="K162" s="17" t="s">
        <v>636</v>
      </c>
      <c r="L162" s="17" t="s">
        <v>638</v>
      </c>
      <c r="M162" s="17" t="s">
        <v>613</v>
      </c>
      <c r="N162" s="17" t="s">
        <v>614</v>
      </c>
      <c r="O162" s="17" t="s">
        <v>45</v>
      </c>
      <c r="P162" s="17" t="s">
        <v>693</v>
      </c>
      <c r="Q162" s="17" t="s">
        <v>74</v>
      </c>
    </row>
    <row r="163" ht="60.0" customHeight="1">
      <c r="A163" s="4" t="s">
        <v>506</v>
      </c>
      <c r="C163" s="20" t="s">
        <v>91</v>
      </c>
      <c r="D163" s="20" t="s">
        <v>55</v>
      </c>
      <c r="E163" s="20"/>
      <c r="F163" s="20" t="s">
        <v>636</v>
      </c>
      <c r="G163" s="20" t="s">
        <v>127</v>
      </c>
      <c r="H163" s="20" t="s">
        <v>128</v>
      </c>
      <c r="I163" s="21">
        <v>22.64</v>
      </c>
      <c r="J163" s="20" t="s">
        <v>694</v>
      </c>
      <c r="K163" s="20" t="s">
        <v>636</v>
      </c>
      <c r="L163" s="20" t="s">
        <v>638</v>
      </c>
      <c r="M163" s="20" t="s">
        <v>613</v>
      </c>
      <c r="N163" s="20" t="s">
        <v>614</v>
      </c>
      <c r="O163" s="20" t="s">
        <v>45</v>
      </c>
      <c r="P163" s="20" t="s">
        <v>695</v>
      </c>
      <c r="Q163" s="20" t="s">
        <v>74</v>
      </c>
    </row>
    <row r="164" ht="60.0" customHeight="1">
      <c r="A164" s="4" t="s">
        <v>506</v>
      </c>
      <c r="C164" s="17" t="s">
        <v>115</v>
      </c>
      <c r="D164" s="17" t="s">
        <v>55</v>
      </c>
      <c r="E164" s="17"/>
      <c r="F164" s="17" t="s">
        <v>554</v>
      </c>
      <c r="G164" s="17" t="s">
        <v>353</v>
      </c>
      <c r="H164" s="17" t="s">
        <v>354</v>
      </c>
      <c r="I164" s="18">
        <v>23.59</v>
      </c>
      <c r="J164" s="17" t="s">
        <v>696</v>
      </c>
      <c r="K164" s="17" t="s">
        <v>554</v>
      </c>
      <c r="L164" s="17" t="s">
        <v>188</v>
      </c>
      <c r="M164" s="17" t="s">
        <v>189</v>
      </c>
      <c r="N164" s="17" t="s">
        <v>190</v>
      </c>
      <c r="O164" s="17" t="s">
        <v>45</v>
      </c>
      <c r="P164" s="17" t="s">
        <v>697</v>
      </c>
      <c r="Q164" s="17" t="s">
        <v>64</v>
      </c>
    </row>
    <row r="165" ht="60.0" customHeight="1">
      <c r="A165" s="4" t="s">
        <v>506</v>
      </c>
      <c r="C165" s="20" t="s">
        <v>83</v>
      </c>
      <c r="D165" s="20" t="s">
        <v>55</v>
      </c>
      <c r="E165" s="20"/>
      <c r="F165" s="20" t="s">
        <v>554</v>
      </c>
      <c r="G165" s="20" t="s">
        <v>353</v>
      </c>
      <c r="H165" s="20" t="s">
        <v>354</v>
      </c>
      <c r="I165" s="21">
        <v>24.03</v>
      </c>
      <c r="J165" s="20" t="s">
        <v>698</v>
      </c>
      <c r="K165" s="20" t="s">
        <v>554</v>
      </c>
      <c r="L165" s="20" t="s">
        <v>188</v>
      </c>
      <c r="M165" s="20" t="s">
        <v>189</v>
      </c>
      <c r="N165" s="20" t="s">
        <v>190</v>
      </c>
      <c r="O165" s="20" t="s">
        <v>45</v>
      </c>
      <c r="P165" s="20" t="s">
        <v>699</v>
      </c>
      <c r="Q165" s="20" t="s">
        <v>64</v>
      </c>
    </row>
    <row r="166" ht="60.0" customHeight="1">
      <c r="A166" s="4" t="s">
        <v>506</v>
      </c>
      <c r="C166" s="20" t="s">
        <v>54</v>
      </c>
      <c r="D166" s="20" t="s">
        <v>55</v>
      </c>
      <c r="E166" s="20"/>
      <c r="F166" s="20" t="s">
        <v>700</v>
      </c>
      <c r="G166" s="20" t="s">
        <v>149</v>
      </c>
      <c r="H166" s="20" t="s">
        <v>150</v>
      </c>
      <c r="I166" s="21">
        <v>24.98</v>
      </c>
      <c r="J166" s="20" t="s">
        <v>701</v>
      </c>
      <c r="K166" s="20" t="s">
        <v>700</v>
      </c>
      <c r="L166" s="20" t="s">
        <v>702</v>
      </c>
      <c r="M166" s="20" t="s">
        <v>71</v>
      </c>
      <c r="N166" s="20" t="s">
        <v>112</v>
      </c>
      <c r="O166" s="20" t="s">
        <v>45</v>
      </c>
      <c r="P166" s="20" t="s">
        <v>703</v>
      </c>
      <c r="Q166" s="20" t="s">
        <v>114</v>
      </c>
    </row>
    <row r="167" ht="60.0" customHeight="1">
      <c r="A167" s="4" t="s">
        <v>506</v>
      </c>
      <c r="C167" s="20" t="s">
        <v>196</v>
      </c>
      <c r="D167" s="20" t="s">
        <v>55</v>
      </c>
      <c r="E167" s="20"/>
      <c r="F167" s="20" t="s">
        <v>704</v>
      </c>
      <c r="G167" s="20" t="s">
        <v>353</v>
      </c>
      <c r="H167" s="20" t="s">
        <v>354</v>
      </c>
      <c r="I167" s="21">
        <v>25.0</v>
      </c>
      <c r="J167" s="20" t="s">
        <v>705</v>
      </c>
      <c r="K167" s="20" t="s">
        <v>704</v>
      </c>
      <c r="L167" s="20" t="s">
        <v>706</v>
      </c>
      <c r="M167" s="20" t="s">
        <v>707</v>
      </c>
      <c r="N167" s="20" t="s">
        <v>708</v>
      </c>
      <c r="O167" s="20" t="s">
        <v>45</v>
      </c>
      <c r="P167" s="20" t="s">
        <v>709</v>
      </c>
      <c r="Q167" s="20" t="s">
        <v>64</v>
      </c>
    </row>
    <row r="168" ht="60.0" customHeight="1">
      <c r="A168" s="4" t="s">
        <v>710</v>
      </c>
      <c r="C168" s="20" t="s">
        <v>196</v>
      </c>
      <c r="D168" s="20" t="s">
        <v>55</v>
      </c>
      <c r="E168" s="20"/>
      <c r="F168" s="20" t="s">
        <v>554</v>
      </c>
      <c r="G168" s="20" t="s">
        <v>353</v>
      </c>
      <c r="H168" s="20" t="s">
        <v>354</v>
      </c>
      <c r="I168" s="21">
        <v>25.22</v>
      </c>
      <c r="J168" s="20" t="s">
        <v>711</v>
      </c>
      <c r="K168" s="20" t="s">
        <v>554</v>
      </c>
      <c r="L168" s="20" t="s">
        <v>188</v>
      </c>
      <c r="M168" s="20" t="s">
        <v>189</v>
      </c>
      <c r="N168" s="20" t="s">
        <v>190</v>
      </c>
      <c r="O168" s="20" t="s">
        <v>45</v>
      </c>
      <c r="P168" s="20" t="s">
        <v>712</v>
      </c>
      <c r="Q168" s="20" t="s">
        <v>64</v>
      </c>
    </row>
    <row r="169" ht="60.0" customHeight="1">
      <c r="A169" s="4" t="s">
        <v>710</v>
      </c>
      <c r="C169" s="17" t="s">
        <v>367</v>
      </c>
      <c r="D169" s="17" t="s">
        <v>55</v>
      </c>
      <c r="E169" s="17"/>
      <c r="F169" s="17" t="s">
        <v>554</v>
      </c>
      <c r="G169" s="17" t="s">
        <v>353</v>
      </c>
      <c r="H169" s="17" t="s">
        <v>354</v>
      </c>
      <c r="I169" s="18">
        <v>25.35</v>
      </c>
      <c r="J169" s="17" t="s">
        <v>713</v>
      </c>
      <c r="K169" s="17" t="s">
        <v>554</v>
      </c>
      <c r="L169" s="17" t="s">
        <v>188</v>
      </c>
      <c r="M169" s="17" t="s">
        <v>189</v>
      </c>
      <c r="N169" s="17" t="s">
        <v>190</v>
      </c>
      <c r="O169" s="17" t="s">
        <v>45</v>
      </c>
      <c r="P169" s="17" t="s">
        <v>714</v>
      </c>
      <c r="Q169" s="17" t="s">
        <v>64</v>
      </c>
    </row>
    <row r="170" ht="60.0" customHeight="1">
      <c r="A170" s="4" t="s">
        <v>710</v>
      </c>
      <c r="C170" s="20" t="s">
        <v>290</v>
      </c>
      <c r="D170" s="20" t="s">
        <v>55</v>
      </c>
      <c r="E170" s="20"/>
      <c r="F170" s="20" t="s">
        <v>430</v>
      </c>
      <c r="G170" s="20" t="s">
        <v>39</v>
      </c>
      <c r="H170" s="20" t="s">
        <v>40</v>
      </c>
      <c r="I170" s="21">
        <v>26.0</v>
      </c>
      <c r="J170" s="20" t="s">
        <v>715</v>
      </c>
      <c r="K170" s="20" t="s">
        <v>430</v>
      </c>
      <c r="L170" s="20" t="s">
        <v>432</v>
      </c>
      <c r="M170" s="20" t="s">
        <v>433</v>
      </c>
      <c r="N170" s="20" t="s">
        <v>434</v>
      </c>
      <c r="O170" s="20" t="s">
        <v>45</v>
      </c>
      <c r="P170" s="20" t="s">
        <v>716</v>
      </c>
      <c r="Q170" s="20" t="s">
        <v>74</v>
      </c>
    </row>
    <row r="171" ht="60.0" customHeight="1">
      <c r="A171" s="4" t="s">
        <v>710</v>
      </c>
      <c r="C171" s="20" t="s">
        <v>156</v>
      </c>
      <c r="D171" s="20" t="s">
        <v>55</v>
      </c>
      <c r="E171" s="20"/>
      <c r="F171" s="20" t="s">
        <v>587</v>
      </c>
      <c r="G171" s="20" t="s">
        <v>127</v>
      </c>
      <c r="H171" s="20" t="s">
        <v>128</v>
      </c>
      <c r="I171" s="21">
        <v>26.32</v>
      </c>
      <c r="J171" s="20" t="s">
        <v>717</v>
      </c>
      <c r="K171" s="20" t="s">
        <v>587</v>
      </c>
      <c r="L171" s="20" t="s">
        <v>589</v>
      </c>
      <c r="M171" s="20" t="s">
        <v>142</v>
      </c>
      <c r="N171" s="20" t="s">
        <v>166</v>
      </c>
      <c r="O171" s="20" t="s">
        <v>45</v>
      </c>
      <c r="P171" s="20" t="s">
        <v>718</v>
      </c>
      <c r="Q171" s="20" t="s">
        <v>64</v>
      </c>
    </row>
    <row r="172" ht="60.0" customHeight="1">
      <c r="A172" s="4" t="s">
        <v>710</v>
      </c>
      <c r="C172" s="17" t="s">
        <v>156</v>
      </c>
      <c r="D172" s="17" t="s">
        <v>55</v>
      </c>
      <c r="E172" s="17"/>
      <c r="F172" s="17" t="s">
        <v>719</v>
      </c>
      <c r="G172" s="17" t="s">
        <v>149</v>
      </c>
      <c r="H172" s="17" t="s">
        <v>150</v>
      </c>
      <c r="I172" s="18">
        <v>26.33</v>
      </c>
      <c r="J172" s="17" t="s">
        <v>720</v>
      </c>
      <c r="K172" s="17" t="s">
        <v>719</v>
      </c>
      <c r="L172" s="17" t="s">
        <v>721</v>
      </c>
      <c r="M172" s="17" t="s">
        <v>305</v>
      </c>
      <c r="N172" s="17" t="s">
        <v>583</v>
      </c>
      <c r="O172" s="17" t="s">
        <v>45</v>
      </c>
      <c r="P172" s="17" t="s">
        <v>722</v>
      </c>
      <c r="Q172" s="17" t="s">
        <v>114</v>
      </c>
    </row>
    <row r="173" ht="60.0" customHeight="1">
      <c r="A173" s="4" t="s">
        <v>710</v>
      </c>
      <c r="C173" s="17" t="s">
        <v>54</v>
      </c>
      <c r="D173" s="17" t="s">
        <v>55</v>
      </c>
      <c r="E173" s="17"/>
      <c r="F173" s="17" t="s">
        <v>723</v>
      </c>
      <c r="G173" s="17" t="s">
        <v>127</v>
      </c>
      <c r="H173" s="17" t="s">
        <v>128</v>
      </c>
      <c r="I173" s="18">
        <v>26.67</v>
      </c>
      <c r="J173" s="17" t="s">
        <v>724</v>
      </c>
      <c r="K173" s="17" t="s">
        <v>723</v>
      </c>
      <c r="L173" s="17" t="s">
        <v>725</v>
      </c>
      <c r="M173" s="17" t="s">
        <v>613</v>
      </c>
      <c r="N173" s="17" t="s">
        <v>614</v>
      </c>
      <c r="O173" s="17" t="s">
        <v>45</v>
      </c>
      <c r="P173" s="17" t="s">
        <v>726</v>
      </c>
      <c r="Q173" s="17" t="s">
        <v>122</v>
      </c>
    </row>
    <row r="174" ht="60.0" customHeight="1">
      <c r="A174" s="4" t="s">
        <v>710</v>
      </c>
      <c r="C174" s="17" t="s">
        <v>54</v>
      </c>
      <c r="D174" s="17" t="s">
        <v>55</v>
      </c>
      <c r="E174" s="17"/>
      <c r="F174" s="17" t="s">
        <v>360</v>
      </c>
      <c r="G174" s="17" t="s">
        <v>57</v>
      </c>
      <c r="H174" s="17" t="s">
        <v>58</v>
      </c>
      <c r="I174" s="18">
        <v>26.84</v>
      </c>
      <c r="J174" s="17" t="s">
        <v>727</v>
      </c>
      <c r="K174" s="17" t="s">
        <v>360</v>
      </c>
      <c r="L174" s="17" t="s">
        <v>60</v>
      </c>
      <c r="M174" s="17" t="s">
        <v>61</v>
      </c>
      <c r="N174" s="17" t="s">
        <v>62</v>
      </c>
      <c r="O174" s="17" t="s">
        <v>45</v>
      </c>
      <c r="P174" s="17" t="s">
        <v>728</v>
      </c>
      <c r="Q174" s="17" t="s">
        <v>64</v>
      </c>
    </row>
    <row r="175" ht="60.0" customHeight="1">
      <c r="A175" s="4" t="s">
        <v>710</v>
      </c>
      <c r="C175" s="17" t="s">
        <v>37</v>
      </c>
      <c r="D175" s="17" t="s">
        <v>55</v>
      </c>
      <c r="E175" s="17"/>
      <c r="F175" s="17" t="s">
        <v>554</v>
      </c>
      <c r="G175" s="17" t="s">
        <v>353</v>
      </c>
      <c r="H175" s="17" t="s">
        <v>354</v>
      </c>
      <c r="I175" s="18">
        <v>27.21</v>
      </c>
      <c r="J175" s="17" t="s">
        <v>729</v>
      </c>
      <c r="K175" s="17" t="s">
        <v>554</v>
      </c>
      <c r="L175" s="17" t="s">
        <v>188</v>
      </c>
      <c r="M175" s="17" t="s">
        <v>189</v>
      </c>
      <c r="N175" s="17" t="s">
        <v>190</v>
      </c>
      <c r="O175" s="17" t="s">
        <v>45</v>
      </c>
      <c r="P175" s="17" t="s">
        <v>730</v>
      </c>
      <c r="Q175" s="17" t="s">
        <v>64</v>
      </c>
    </row>
    <row r="176" ht="60.0" customHeight="1">
      <c r="A176" s="4" t="s">
        <v>710</v>
      </c>
      <c r="C176" s="17" t="s">
        <v>115</v>
      </c>
      <c r="D176" s="17" t="s">
        <v>55</v>
      </c>
      <c r="E176" s="17"/>
      <c r="F176" s="17" t="s">
        <v>560</v>
      </c>
      <c r="G176" s="17" t="s">
        <v>39</v>
      </c>
      <c r="H176" s="17" t="s">
        <v>40</v>
      </c>
      <c r="I176" s="18">
        <v>27.41</v>
      </c>
      <c r="J176" s="17" t="s">
        <v>731</v>
      </c>
      <c r="K176" s="17" t="s">
        <v>560</v>
      </c>
      <c r="L176" s="17" t="s">
        <v>562</v>
      </c>
      <c r="M176" s="17" t="s">
        <v>326</v>
      </c>
      <c r="N176" s="17" t="s">
        <v>563</v>
      </c>
      <c r="O176" s="17" t="s">
        <v>45</v>
      </c>
      <c r="P176" s="17" t="s">
        <v>732</v>
      </c>
      <c r="Q176" s="17" t="s">
        <v>64</v>
      </c>
    </row>
    <row r="177" ht="60.0" customHeight="1">
      <c r="A177" s="4" t="s">
        <v>710</v>
      </c>
      <c r="C177" s="17" t="s">
        <v>233</v>
      </c>
      <c r="D177" s="17" t="s">
        <v>55</v>
      </c>
      <c r="E177" s="17"/>
      <c r="F177" s="17" t="s">
        <v>700</v>
      </c>
      <c r="G177" s="17" t="s">
        <v>149</v>
      </c>
      <c r="H177" s="17" t="s">
        <v>150</v>
      </c>
      <c r="I177" s="18">
        <v>27.61</v>
      </c>
      <c r="J177" s="17" t="s">
        <v>733</v>
      </c>
      <c r="K177" s="17" t="s">
        <v>700</v>
      </c>
      <c r="L177" s="17" t="s">
        <v>702</v>
      </c>
      <c r="M177" s="17" t="s">
        <v>71</v>
      </c>
      <c r="N177" s="17" t="s">
        <v>112</v>
      </c>
      <c r="O177" s="17" t="s">
        <v>45</v>
      </c>
      <c r="P177" s="17" t="s">
        <v>734</v>
      </c>
      <c r="Q177" s="17" t="s">
        <v>114</v>
      </c>
    </row>
    <row r="178" ht="60.0" customHeight="1">
      <c r="A178" s="4" t="s">
        <v>710</v>
      </c>
      <c r="C178" s="17" t="s">
        <v>156</v>
      </c>
      <c r="D178" s="17" t="s">
        <v>55</v>
      </c>
      <c r="E178" s="17"/>
      <c r="F178" s="17" t="s">
        <v>521</v>
      </c>
      <c r="G178" s="17" t="s">
        <v>39</v>
      </c>
      <c r="H178" s="17" t="s">
        <v>40</v>
      </c>
      <c r="I178" s="18">
        <v>27.62</v>
      </c>
      <c r="J178" s="17" t="s">
        <v>735</v>
      </c>
      <c r="K178" s="17" t="s">
        <v>521</v>
      </c>
      <c r="L178" s="17" t="s">
        <v>523</v>
      </c>
      <c r="M178" s="17" t="s">
        <v>524</v>
      </c>
      <c r="N178" s="17" t="s">
        <v>525</v>
      </c>
      <c r="O178" s="17" t="s">
        <v>45</v>
      </c>
      <c r="P178" s="17" t="s">
        <v>736</v>
      </c>
      <c r="Q178" s="17" t="s">
        <v>64</v>
      </c>
    </row>
    <row r="179" ht="60.0" customHeight="1">
      <c r="A179" s="4" t="s">
        <v>710</v>
      </c>
      <c r="C179" s="20" t="s">
        <v>54</v>
      </c>
      <c r="D179" s="20" t="s">
        <v>55</v>
      </c>
      <c r="E179" s="20"/>
      <c r="F179" s="20" t="s">
        <v>92</v>
      </c>
      <c r="G179" s="20" t="s">
        <v>138</v>
      </c>
      <c r="H179" s="20" t="s">
        <v>139</v>
      </c>
      <c r="I179" s="21">
        <v>27.65</v>
      </c>
      <c r="J179" s="20" t="s">
        <v>737</v>
      </c>
      <c r="K179" s="20" t="s">
        <v>92</v>
      </c>
      <c r="L179" s="20" t="s">
        <v>208</v>
      </c>
      <c r="M179" s="20" t="s">
        <v>97</v>
      </c>
      <c r="N179" s="20" t="s">
        <v>98</v>
      </c>
      <c r="O179" s="20" t="s">
        <v>45</v>
      </c>
      <c r="P179" s="20" t="s">
        <v>738</v>
      </c>
      <c r="Q179" s="20" t="s">
        <v>64</v>
      </c>
    </row>
    <row r="180" ht="60.0" customHeight="1">
      <c r="A180" s="4" t="s">
        <v>710</v>
      </c>
      <c r="C180" s="20" t="s">
        <v>91</v>
      </c>
      <c r="D180" s="20" t="s">
        <v>55</v>
      </c>
      <c r="E180" s="20"/>
      <c r="F180" s="20" t="s">
        <v>554</v>
      </c>
      <c r="G180" s="20" t="s">
        <v>353</v>
      </c>
      <c r="H180" s="20" t="s">
        <v>354</v>
      </c>
      <c r="I180" s="21">
        <v>28.34</v>
      </c>
      <c r="J180" s="20" t="s">
        <v>739</v>
      </c>
      <c r="K180" s="20" t="s">
        <v>554</v>
      </c>
      <c r="L180" s="20" t="s">
        <v>188</v>
      </c>
      <c r="M180" s="20" t="s">
        <v>189</v>
      </c>
      <c r="N180" s="20" t="s">
        <v>190</v>
      </c>
      <c r="O180" s="20" t="s">
        <v>45</v>
      </c>
      <c r="P180" s="20" t="s">
        <v>740</v>
      </c>
      <c r="Q180" s="20" t="s">
        <v>64</v>
      </c>
    </row>
    <row r="181" ht="60.0" customHeight="1">
      <c r="A181" s="4" t="s">
        <v>710</v>
      </c>
      <c r="C181" s="20" t="s">
        <v>183</v>
      </c>
      <c r="D181" s="20" t="s">
        <v>55</v>
      </c>
      <c r="E181" s="20"/>
      <c r="F181" s="20" t="s">
        <v>741</v>
      </c>
      <c r="G181" s="20" t="s">
        <v>149</v>
      </c>
      <c r="H181" s="20" t="s">
        <v>150</v>
      </c>
      <c r="I181" s="21">
        <v>28.94</v>
      </c>
      <c r="J181" s="20" t="s">
        <v>742</v>
      </c>
      <c r="K181" s="20" t="s">
        <v>741</v>
      </c>
      <c r="L181" s="20" t="s">
        <v>743</v>
      </c>
      <c r="M181" s="20" t="s">
        <v>119</v>
      </c>
      <c r="N181" s="20" t="s">
        <v>120</v>
      </c>
      <c r="O181" s="20" t="s">
        <v>45</v>
      </c>
      <c r="P181" s="20" t="s">
        <v>744</v>
      </c>
      <c r="Q181" s="20" t="s">
        <v>122</v>
      </c>
    </row>
    <row r="182" ht="60.0" customHeight="1">
      <c r="A182" s="4" t="s">
        <v>710</v>
      </c>
      <c r="C182" s="17" t="s">
        <v>233</v>
      </c>
      <c r="D182" s="17" t="s">
        <v>55</v>
      </c>
      <c r="E182" s="17"/>
      <c r="F182" s="17" t="s">
        <v>745</v>
      </c>
      <c r="G182" s="17" t="s">
        <v>39</v>
      </c>
      <c r="H182" s="17" t="s">
        <v>40</v>
      </c>
      <c r="I182" s="18">
        <v>29.51</v>
      </c>
      <c r="J182" s="17" t="s">
        <v>746</v>
      </c>
      <c r="K182" s="17" t="s">
        <v>745</v>
      </c>
      <c r="L182" s="17" t="s">
        <v>188</v>
      </c>
      <c r="M182" s="17" t="s">
        <v>189</v>
      </c>
      <c r="N182" s="17" t="s">
        <v>190</v>
      </c>
      <c r="O182" s="17" t="s">
        <v>45</v>
      </c>
      <c r="P182" s="17" t="s">
        <v>747</v>
      </c>
      <c r="Q182" s="17" t="s">
        <v>64</v>
      </c>
    </row>
    <row r="183" ht="60.0" customHeight="1">
      <c r="A183" s="4" t="s">
        <v>710</v>
      </c>
      <c r="C183" s="17" t="s">
        <v>91</v>
      </c>
      <c r="D183" s="17" t="s">
        <v>55</v>
      </c>
      <c r="E183" s="17"/>
      <c r="F183" s="17" t="s">
        <v>748</v>
      </c>
      <c r="G183" s="17" t="s">
        <v>149</v>
      </c>
      <c r="H183" s="17" t="s">
        <v>150</v>
      </c>
      <c r="I183" s="18">
        <v>29.91</v>
      </c>
      <c r="J183" s="17" t="s">
        <v>749</v>
      </c>
      <c r="K183" s="17" t="s">
        <v>750</v>
      </c>
      <c r="L183" s="17" t="s">
        <v>751</v>
      </c>
      <c r="M183" s="17" t="s">
        <v>71</v>
      </c>
      <c r="N183" s="17" t="s">
        <v>249</v>
      </c>
      <c r="O183" s="17" t="s">
        <v>45</v>
      </c>
      <c r="P183" s="17" t="s">
        <v>752</v>
      </c>
      <c r="Q183" s="17" t="s">
        <v>753</v>
      </c>
    </row>
    <row r="184" ht="60.0" customHeight="1">
      <c r="A184" s="4" t="s">
        <v>710</v>
      </c>
      <c r="C184" s="17" t="s">
        <v>196</v>
      </c>
      <c r="D184" s="17" t="s">
        <v>55</v>
      </c>
      <c r="E184" s="17"/>
      <c r="F184" s="17" t="s">
        <v>754</v>
      </c>
      <c r="G184" s="17" t="s">
        <v>39</v>
      </c>
      <c r="H184" s="17" t="s">
        <v>40</v>
      </c>
      <c r="I184" s="18">
        <v>30.0</v>
      </c>
      <c r="J184" s="17" t="s">
        <v>755</v>
      </c>
      <c r="K184" s="17" t="s">
        <v>754</v>
      </c>
      <c r="L184" s="17" t="s">
        <v>756</v>
      </c>
      <c r="M184" s="17" t="s">
        <v>757</v>
      </c>
      <c r="N184" s="17" t="s">
        <v>758</v>
      </c>
      <c r="O184" s="17" t="s">
        <v>45</v>
      </c>
      <c r="P184" s="17" t="s">
        <v>759</v>
      </c>
      <c r="Q184" s="17" t="s">
        <v>64</v>
      </c>
    </row>
    <row r="185" ht="60.0" customHeight="1">
      <c r="A185" s="4" t="s">
        <v>710</v>
      </c>
      <c r="C185" s="20" t="s">
        <v>196</v>
      </c>
      <c r="D185" s="20" t="s">
        <v>55</v>
      </c>
      <c r="E185" s="20"/>
      <c r="F185" s="20" t="s">
        <v>760</v>
      </c>
      <c r="G185" s="20" t="s">
        <v>39</v>
      </c>
      <c r="H185" s="20" t="s">
        <v>40</v>
      </c>
      <c r="I185" s="21">
        <v>31.0</v>
      </c>
      <c r="J185" s="20" t="s">
        <v>761</v>
      </c>
      <c r="K185" s="20" t="s">
        <v>760</v>
      </c>
      <c r="L185" s="20" t="s">
        <v>762</v>
      </c>
      <c r="M185" s="20" t="s">
        <v>43</v>
      </c>
      <c r="N185" s="20" t="s">
        <v>44</v>
      </c>
      <c r="O185" s="20" t="s">
        <v>45</v>
      </c>
      <c r="P185" s="20" t="s">
        <v>763</v>
      </c>
      <c r="Q185" s="20" t="s">
        <v>64</v>
      </c>
    </row>
    <row r="186" ht="60.0" customHeight="1">
      <c r="A186" s="4" t="s">
        <v>710</v>
      </c>
      <c r="C186" s="20" t="s">
        <v>367</v>
      </c>
      <c r="D186" s="20" t="s">
        <v>55</v>
      </c>
      <c r="E186" s="20"/>
      <c r="F186" s="20" t="s">
        <v>368</v>
      </c>
      <c r="G186" s="20" t="s">
        <v>39</v>
      </c>
      <c r="H186" s="20" t="s">
        <v>40</v>
      </c>
      <c r="I186" s="21">
        <v>31.58</v>
      </c>
      <c r="J186" s="20" t="s">
        <v>764</v>
      </c>
      <c r="K186" s="20" t="s">
        <v>368</v>
      </c>
      <c r="L186" s="20" t="s">
        <v>370</v>
      </c>
      <c r="M186" s="20" t="s">
        <v>371</v>
      </c>
      <c r="N186" s="20" t="s">
        <v>372</v>
      </c>
      <c r="O186" s="20" t="s">
        <v>45</v>
      </c>
      <c r="P186" s="20" t="s">
        <v>765</v>
      </c>
      <c r="Q186" s="20" t="s">
        <v>182</v>
      </c>
    </row>
    <row r="187" ht="60.0" customHeight="1">
      <c r="A187" s="4" t="s">
        <v>710</v>
      </c>
      <c r="C187" s="17" t="s">
        <v>233</v>
      </c>
      <c r="D187" s="17" t="s">
        <v>55</v>
      </c>
      <c r="E187" s="17"/>
      <c r="F187" s="17" t="s">
        <v>766</v>
      </c>
      <c r="G187" s="17" t="s">
        <v>127</v>
      </c>
      <c r="H187" s="17" t="s">
        <v>128</v>
      </c>
      <c r="I187" s="18">
        <v>32.17</v>
      </c>
      <c r="J187" s="17" t="s">
        <v>767</v>
      </c>
      <c r="K187" s="17" t="s">
        <v>766</v>
      </c>
      <c r="L187" s="17" t="s">
        <v>768</v>
      </c>
      <c r="M187" s="17" t="s">
        <v>142</v>
      </c>
      <c r="N187" s="17" t="s">
        <v>166</v>
      </c>
      <c r="O187" s="17" t="s">
        <v>45</v>
      </c>
      <c r="P187" s="17" t="s">
        <v>769</v>
      </c>
      <c r="Q187" s="17" t="s">
        <v>74</v>
      </c>
    </row>
    <row r="188" ht="60.0" customHeight="1">
      <c r="A188" s="4" t="s">
        <v>710</v>
      </c>
      <c r="C188" s="20" t="s">
        <v>290</v>
      </c>
      <c r="D188" s="20" t="s">
        <v>55</v>
      </c>
      <c r="E188" s="20"/>
      <c r="F188" s="20" t="s">
        <v>560</v>
      </c>
      <c r="G188" s="20" t="s">
        <v>39</v>
      </c>
      <c r="H188" s="20" t="s">
        <v>40</v>
      </c>
      <c r="I188" s="21">
        <v>32.28</v>
      </c>
      <c r="J188" s="20" t="s">
        <v>770</v>
      </c>
      <c r="K188" s="20" t="s">
        <v>560</v>
      </c>
      <c r="L188" s="20" t="s">
        <v>562</v>
      </c>
      <c r="M188" s="20" t="s">
        <v>326</v>
      </c>
      <c r="N188" s="20" t="s">
        <v>563</v>
      </c>
      <c r="O188" s="20" t="s">
        <v>45</v>
      </c>
      <c r="P188" s="20" t="s">
        <v>771</v>
      </c>
      <c r="Q188" s="20" t="s">
        <v>64</v>
      </c>
    </row>
    <row r="189" ht="60.0" customHeight="1">
      <c r="A189" s="4" t="s">
        <v>710</v>
      </c>
      <c r="C189" s="20" t="s">
        <v>65</v>
      </c>
      <c r="D189" s="20" t="s">
        <v>55</v>
      </c>
      <c r="E189" s="20"/>
      <c r="F189" s="20" t="s">
        <v>700</v>
      </c>
      <c r="G189" s="20" t="s">
        <v>149</v>
      </c>
      <c r="H189" s="20" t="s">
        <v>150</v>
      </c>
      <c r="I189" s="21">
        <v>32.51</v>
      </c>
      <c r="J189" s="20" t="s">
        <v>772</v>
      </c>
      <c r="K189" s="20" t="s">
        <v>700</v>
      </c>
      <c r="L189" s="20" t="s">
        <v>702</v>
      </c>
      <c r="M189" s="20" t="s">
        <v>71</v>
      </c>
      <c r="N189" s="20" t="s">
        <v>112</v>
      </c>
      <c r="O189" s="20" t="s">
        <v>45</v>
      </c>
      <c r="P189" s="20" t="s">
        <v>773</v>
      </c>
      <c r="Q189" s="20" t="s">
        <v>114</v>
      </c>
    </row>
    <row r="190" ht="60.0" customHeight="1">
      <c r="A190" s="4" t="s">
        <v>710</v>
      </c>
      <c r="C190" s="20" t="s">
        <v>147</v>
      </c>
      <c r="D190" s="20" t="s">
        <v>55</v>
      </c>
      <c r="E190" s="20"/>
      <c r="F190" s="20" t="s">
        <v>774</v>
      </c>
      <c r="G190" s="20" t="s">
        <v>39</v>
      </c>
      <c r="H190" s="20" t="s">
        <v>40</v>
      </c>
      <c r="I190" s="21">
        <v>32.6</v>
      </c>
      <c r="J190" s="20" t="s">
        <v>775</v>
      </c>
      <c r="K190" s="20" t="s">
        <v>774</v>
      </c>
      <c r="L190" s="20" t="s">
        <v>188</v>
      </c>
      <c r="M190" s="20" t="s">
        <v>189</v>
      </c>
      <c r="N190" s="20" t="s">
        <v>190</v>
      </c>
      <c r="O190" s="20" t="s">
        <v>45</v>
      </c>
      <c r="P190" s="20" t="s">
        <v>776</v>
      </c>
      <c r="Q190" s="20" t="s">
        <v>64</v>
      </c>
    </row>
    <row r="191" ht="60.0" customHeight="1">
      <c r="A191" s="4" t="s">
        <v>710</v>
      </c>
      <c r="C191" s="20" t="s">
        <v>65</v>
      </c>
      <c r="D191" s="20" t="s">
        <v>55</v>
      </c>
      <c r="E191" s="20"/>
      <c r="F191" s="20" t="s">
        <v>137</v>
      </c>
      <c r="G191" s="20" t="s">
        <v>93</v>
      </c>
      <c r="H191" s="20" t="s">
        <v>94</v>
      </c>
      <c r="I191" s="21">
        <v>32.77</v>
      </c>
      <c r="J191" s="20" t="s">
        <v>777</v>
      </c>
      <c r="K191" s="20" t="s">
        <v>137</v>
      </c>
      <c r="L191" s="20" t="s">
        <v>141</v>
      </c>
      <c r="M191" s="20" t="s">
        <v>142</v>
      </c>
      <c r="N191" s="20" t="s">
        <v>143</v>
      </c>
      <c r="O191" s="20" t="s">
        <v>45</v>
      </c>
      <c r="P191" s="20" t="s">
        <v>778</v>
      </c>
      <c r="Q191" s="20" t="s">
        <v>74</v>
      </c>
    </row>
    <row r="192" ht="60.0" customHeight="1">
      <c r="A192" s="4" t="s">
        <v>710</v>
      </c>
      <c r="C192" s="17" t="s">
        <v>91</v>
      </c>
      <c r="D192" s="17" t="s">
        <v>55</v>
      </c>
      <c r="E192" s="17"/>
      <c r="F192" s="17" t="s">
        <v>636</v>
      </c>
      <c r="G192" s="17" t="s">
        <v>127</v>
      </c>
      <c r="H192" s="17" t="s">
        <v>128</v>
      </c>
      <c r="I192" s="18">
        <v>32.82</v>
      </c>
      <c r="J192" s="17" t="s">
        <v>779</v>
      </c>
      <c r="K192" s="17" t="s">
        <v>636</v>
      </c>
      <c r="L192" s="17" t="s">
        <v>638</v>
      </c>
      <c r="M192" s="17" t="s">
        <v>613</v>
      </c>
      <c r="N192" s="17" t="s">
        <v>614</v>
      </c>
      <c r="O192" s="17" t="s">
        <v>45</v>
      </c>
      <c r="P192" s="17" t="s">
        <v>780</v>
      </c>
      <c r="Q192" s="17" t="s">
        <v>64</v>
      </c>
    </row>
    <row r="193" ht="60.0" customHeight="1">
      <c r="A193" s="4" t="s">
        <v>710</v>
      </c>
      <c r="C193" s="17" t="s">
        <v>131</v>
      </c>
      <c r="D193" s="17" t="s">
        <v>55</v>
      </c>
      <c r="E193" s="17"/>
      <c r="F193" s="17" t="s">
        <v>560</v>
      </c>
      <c r="G193" s="17" t="s">
        <v>39</v>
      </c>
      <c r="H193" s="17" t="s">
        <v>40</v>
      </c>
      <c r="I193" s="18">
        <v>33.25</v>
      </c>
      <c r="J193" s="17" t="s">
        <v>781</v>
      </c>
      <c r="K193" s="17" t="s">
        <v>560</v>
      </c>
      <c r="L193" s="17" t="s">
        <v>562</v>
      </c>
      <c r="M193" s="17" t="s">
        <v>326</v>
      </c>
      <c r="N193" s="17" t="s">
        <v>563</v>
      </c>
      <c r="O193" s="17" t="s">
        <v>45</v>
      </c>
      <c r="P193" s="17" t="s">
        <v>782</v>
      </c>
      <c r="Q193" s="17" t="s">
        <v>64</v>
      </c>
    </row>
    <row r="194" ht="60.0" customHeight="1">
      <c r="A194" s="4" t="s">
        <v>710</v>
      </c>
      <c r="C194" s="17" t="s">
        <v>147</v>
      </c>
      <c r="D194" s="17" t="s">
        <v>55</v>
      </c>
      <c r="E194" s="17"/>
      <c r="F194" s="17" t="s">
        <v>700</v>
      </c>
      <c r="G194" s="17" t="s">
        <v>57</v>
      </c>
      <c r="H194" s="17" t="s">
        <v>58</v>
      </c>
      <c r="I194" s="18">
        <v>33.53</v>
      </c>
      <c r="J194" s="17" t="s">
        <v>783</v>
      </c>
      <c r="K194" s="17" t="s">
        <v>700</v>
      </c>
      <c r="L194" s="17" t="s">
        <v>702</v>
      </c>
      <c r="M194" s="17" t="s">
        <v>71</v>
      </c>
      <c r="N194" s="17" t="s">
        <v>112</v>
      </c>
      <c r="O194" s="17" t="s">
        <v>45</v>
      </c>
      <c r="P194" s="17" t="s">
        <v>784</v>
      </c>
      <c r="Q194" s="17" t="s">
        <v>114</v>
      </c>
    </row>
    <row r="195" ht="60.0" customHeight="1">
      <c r="A195" s="4" t="s">
        <v>710</v>
      </c>
      <c r="C195" s="17" t="s">
        <v>65</v>
      </c>
      <c r="D195" s="17" t="s">
        <v>55</v>
      </c>
      <c r="E195" s="17"/>
      <c r="F195" s="17" t="s">
        <v>785</v>
      </c>
      <c r="G195" s="17" t="s">
        <v>39</v>
      </c>
      <c r="H195" s="17" t="s">
        <v>40</v>
      </c>
      <c r="I195" s="18">
        <v>34.54</v>
      </c>
      <c r="J195" s="17" t="s">
        <v>786</v>
      </c>
      <c r="K195" s="17" t="s">
        <v>785</v>
      </c>
      <c r="L195" s="17" t="s">
        <v>787</v>
      </c>
      <c r="M195" s="17" t="s">
        <v>326</v>
      </c>
      <c r="N195" s="17" t="s">
        <v>563</v>
      </c>
      <c r="O195" s="17" t="s">
        <v>45</v>
      </c>
      <c r="P195" s="17" t="s">
        <v>788</v>
      </c>
      <c r="Q195" s="17" t="s">
        <v>174</v>
      </c>
    </row>
    <row r="196" ht="60.0" customHeight="1">
      <c r="A196" s="4" t="s">
        <v>710</v>
      </c>
      <c r="C196" s="17" t="s">
        <v>108</v>
      </c>
      <c r="D196" s="17" t="s">
        <v>55</v>
      </c>
      <c r="E196" s="17"/>
      <c r="F196" s="17" t="s">
        <v>554</v>
      </c>
      <c r="G196" s="17" t="s">
        <v>353</v>
      </c>
      <c r="H196" s="17" t="s">
        <v>354</v>
      </c>
      <c r="I196" s="18">
        <v>34.69</v>
      </c>
      <c r="J196" s="17" t="s">
        <v>789</v>
      </c>
      <c r="K196" s="17" t="s">
        <v>554</v>
      </c>
      <c r="L196" s="17" t="s">
        <v>188</v>
      </c>
      <c r="M196" s="17" t="s">
        <v>189</v>
      </c>
      <c r="N196" s="17" t="s">
        <v>190</v>
      </c>
      <c r="O196" s="17" t="s">
        <v>45</v>
      </c>
      <c r="P196" s="17" t="s">
        <v>790</v>
      </c>
      <c r="Q196" s="17" t="s">
        <v>64</v>
      </c>
    </row>
    <row r="197" ht="60.0" customHeight="1">
      <c r="A197" s="4" t="s">
        <v>710</v>
      </c>
      <c r="C197" s="17" t="s">
        <v>54</v>
      </c>
      <c r="D197" s="17" t="s">
        <v>55</v>
      </c>
      <c r="E197" s="17"/>
      <c r="F197" s="17" t="s">
        <v>636</v>
      </c>
      <c r="G197" s="17" t="s">
        <v>127</v>
      </c>
      <c r="H197" s="17" t="s">
        <v>128</v>
      </c>
      <c r="I197" s="18">
        <v>34.98</v>
      </c>
      <c r="J197" s="17" t="s">
        <v>791</v>
      </c>
      <c r="K197" s="17" t="s">
        <v>636</v>
      </c>
      <c r="L197" s="17" t="s">
        <v>638</v>
      </c>
      <c r="M197" s="17" t="s">
        <v>613</v>
      </c>
      <c r="N197" s="17" t="s">
        <v>614</v>
      </c>
      <c r="O197" s="17" t="s">
        <v>45</v>
      </c>
      <c r="P197" s="17" t="s">
        <v>792</v>
      </c>
      <c r="Q197" s="17" t="s">
        <v>64</v>
      </c>
    </row>
    <row r="198" ht="60.0" customHeight="1">
      <c r="A198" s="4" t="s">
        <v>506</v>
      </c>
      <c r="C198" s="20" t="s">
        <v>301</v>
      </c>
      <c r="D198" s="20" t="s">
        <v>55</v>
      </c>
      <c r="E198" s="20"/>
      <c r="F198" s="20" t="s">
        <v>700</v>
      </c>
      <c r="G198" s="20" t="s">
        <v>57</v>
      </c>
      <c r="H198" s="20" t="s">
        <v>58</v>
      </c>
      <c r="I198" s="21">
        <v>35.77</v>
      </c>
      <c r="J198" s="20" t="s">
        <v>793</v>
      </c>
      <c r="K198" s="20" t="s">
        <v>700</v>
      </c>
      <c r="L198" s="20" t="s">
        <v>702</v>
      </c>
      <c r="M198" s="20" t="s">
        <v>71</v>
      </c>
      <c r="N198" s="20" t="s">
        <v>112</v>
      </c>
      <c r="O198" s="20" t="s">
        <v>45</v>
      </c>
      <c r="P198" s="20" t="s">
        <v>794</v>
      </c>
      <c r="Q198" s="20" t="s">
        <v>114</v>
      </c>
    </row>
    <row r="199" ht="60.0" customHeight="1">
      <c r="A199" s="4" t="s">
        <v>506</v>
      </c>
      <c r="C199" s="20" t="s">
        <v>83</v>
      </c>
      <c r="D199" s="20" t="s">
        <v>55</v>
      </c>
      <c r="E199" s="20"/>
      <c r="F199" s="20" t="s">
        <v>766</v>
      </c>
      <c r="G199" s="20" t="s">
        <v>127</v>
      </c>
      <c r="H199" s="20" t="s">
        <v>128</v>
      </c>
      <c r="I199" s="21">
        <v>35.78</v>
      </c>
      <c r="J199" s="20" t="s">
        <v>795</v>
      </c>
      <c r="K199" s="20" t="s">
        <v>766</v>
      </c>
      <c r="L199" s="20" t="s">
        <v>768</v>
      </c>
      <c r="M199" s="20" t="s">
        <v>142</v>
      </c>
      <c r="N199" s="20" t="s">
        <v>166</v>
      </c>
      <c r="O199" s="20" t="s">
        <v>45</v>
      </c>
      <c r="P199" s="20" t="s">
        <v>796</v>
      </c>
      <c r="Q199" s="20" t="s">
        <v>74</v>
      </c>
    </row>
    <row r="200" ht="60.0" customHeight="1">
      <c r="A200" s="4" t="s">
        <v>506</v>
      </c>
      <c r="C200" s="20" t="s">
        <v>37</v>
      </c>
      <c r="D200" s="20" t="s">
        <v>55</v>
      </c>
      <c r="E200" s="20"/>
      <c r="F200" s="20" t="s">
        <v>700</v>
      </c>
      <c r="G200" s="20" t="s">
        <v>149</v>
      </c>
      <c r="H200" s="20" t="s">
        <v>150</v>
      </c>
      <c r="I200" s="21">
        <v>36.04</v>
      </c>
      <c r="J200" s="20" t="s">
        <v>797</v>
      </c>
      <c r="K200" s="20" t="s">
        <v>700</v>
      </c>
      <c r="L200" s="20" t="s">
        <v>702</v>
      </c>
      <c r="M200" s="20" t="s">
        <v>71</v>
      </c>
      <c r="N200" s="20" t="s">
        <v>112</v>
      </c>
      <c r="O200" s="20" t="s">
        <v>45</v>
      </c>
      <c r="P200" s="20" t="s">
        <v>798</v>
      </c>
      <c r="Q200" s="20" t="s">
        <v>114</v>
      </c>
    </row>
    <row r="201" ht="60.0" customHeight="1">
      <c r="A201" s="4" t="s">
        <v>506</v>
      </c>
      <c r="C201" s="17" t="s">
        <v>196</v>
      </c>
      <c r="D201" s="17" t="s">
        <v>55</v>
      </c>
      <c r="E201" s="17"/>
      <c r="F201" s="17" t="s">
        <v>799</v>
      </c>
      <c r="G201" s="17" t="s">
        <v>39</v>
      </c>
      <c r="H201" s="17" t="s">
        <v>40</v>
      </c>
      <c r="I201" s="18">
        <v>37.85</v>
      </c>
      <c r="J201" s="17" t="s">
        <v>800</v>
      </c>
      <c r="K201" s="17" t="s">
        <v>799</v>
      </c>
      <c r="L201" s="17" t="s">
        <v>801</v>
      </c>
      <c r="M201" s="17" t="s">
        <v>802</v>
      </c>
      <c r="N201" s="17" t="s">
        <v>803</v>
      </c>
      <c r="O201" s="17" t="s">
        <v>45</v>
      </c>
      <c r="P201" s="17" t="s">
        <v>804</v>
      </c>
      <c r="Q201" s="17" t="s">
        <v>64</v>
      </c>
    </row>
    <row r="202" ht="60.0" customHeight="1">
      <c r="A202" s="4" t="s">
        <v>506</v>
      </c>
      <c r="C202" s="17" t="s">
        <v>196</v>
      </c>
      <c r="D202" s="17" t="s">
        <v>378</v>
      </c>
      <c r="E202" s="17"/>
      <c r="F202" s="17" t="s">
        <v>805</v>
      </c>
      <c r="G202" s="17" t="s">
        <v>39</v>
      </c>
      <c r="H202" s="17" t="s">
        <v>40</v>
      </c>
      <c r="I202" s="18">
        <v>37.97</v>
      </c>
      <c r="J202" s="17" t="s">
        <v>806</v>
      </c>
      <c r="K202" s="17" t="s">
        <v>805</v>
      </c>
      <c r="L202" s="17" t="s">
        <v>807</v>
      </c>
      <c r="M202" s="17" t="s">
        <v>433</v>
      </c>
      <c r="N202" s="17" t="s">
        <v>434</v>
      </c>
      <c r="O202" s="17" t="s">
        <v>45</v>
      </c>
      <c r="P202" s="17" t="s">
        <v>808</v>
      </c>
      <c r="Q202" s="17" t="s">
        <v>502</v>
      </c>
    </row>
    <row r="203" ht="60.0" customHeight="1">
      <c r="A203" s="4" t="s">
        <v>710</v>
      </c>
      <c r="C203" s="17" t="s">
        <v>367</v>
      </c>
      <c r="D203" s="17" t="s">
        <v>55</v>
      </c>
      <c r="E203" s="17"/>
      <c r="F203" s="17" t="s">
        <v>809</v>
      </c>
      <c r="G203" s="17" t="s">
        <v>39</v>
      </c>
      <c r="H203" s="17" t="s">
        <v>40</v>
      </c>
      <c r="I203" s="18">
        <v>38.0</v>
      </c>
      <c r="J203" s="17" t="s">
        <v>810</v>
      </c>
      <c r="K203" s="17" t="s">
        <v>809</v>
      </c>
      <c r="L203" s="17" t="s">
        <v>60</v>
      </c>
      <c r="M203" s="17" t="s">
        <v>61</v>
      </c>
      <c r="N203" s="17" t="s">
        <v>62</v>
      </c>
      <c r="O203" s="17" t="s">
        <v>45</v>
      </c>
      <c r="P203" s="17" t="s">
        <v>811</v>
      </c>
      <c r="Q203" s="17" t="s">
        <v>64</v>
      </c>
    </row>
    <row r="204" ht="60.0" customHeight="1">
      <c r="A204" s="4" t="s">
        <v>710</v>
      </c>
      <c r="C204" s="17" t="s">
        <v>183</v>
      </c>
      <c r="D204" s="17" t="s">
        <v>55</v>
      </c>
      <c r="E204" s="17"/>
      <c r="F204" s="17" t="s">
        <v>760</v>
      </c>
      <c r="G204" s="17" t="s">
        <v>39</v>
      </c>
      <c r="H204" s="17" t="s">
        <v>40</v>
      </c>
      <c r="I204" s="18">
        <v>38.01</v>
      </c>
      <c r="J204" s="17" t="s">
        <v>812</v>
      </c>
      <c r="K204" s="17" t="s">
        <v>760</v>
      </c>
      <c r="L204" s="17" t="s">
        <v>762</v>
      </c>
      <c r="M204" s="17" t="s">
        <v>43</v>
      </c>
      <c r="N204" s="17" t="s">
        <v>44</v>
      </c>
      <c r="O204" s="17" t="s">
        <v>45</v>
      </c>
      <c r="P204" s="17" t="s">
        <v>813</v>
      </c>
      <c r="Q204" s="17" t="s">
        <v>64</v>
      </c>
    </row>
    <row r="205" ht="60.0" customHeight="1">
      <c r="A205" s="4" t="s">
        <v>710</v>
      </c>
      <c r="C205" s="17" t="s">
        <v>37</v>
      </c>
      <c r="D205" s="17" t="s">
        <v>55</v>
      </c>
      <c r="E205" s="17"/>
      <c r="F205" s="17" t="s">
        <v>92</v>
      </c>
      <c r="G205" s="17" t="s">
        <v>93</v>
      </c>
      <c r="H205" s="17" t="s">
        <v>94</v>
      </c>
      <c r="I205" s="18">
        <v>38.6</v>
      </c>
      <c r="J205" s="17" t="s">
        <v>814</v>
      </c>
      <c r="K205" s="17" t="s">
        <v>92</v>
      </c>
      <c r="L205" s="17" t="s">
        <v>208</v>
      </c>
      <c r="M205" s="17" t="s">
        <v>97</v>
      </c>
      <c r="N205" s="17" t="s">
        <v>98</v>
      </c>
      <c r="O205" s="17" t="s">
        <v>45</v>
      </c>
      <c r="P205" s="17" t="s">
        <v>815</v>
      </c>
      <c r="Q205" s="17" t="s">
        <v>64</v>
      </c>
    </row>
    <row r="206" ht="60.0" customHeight="1">
      <c r="A206" s="4" t="s">
        <v>710</v>
      </c>
      <c r="C206" s="17" t="s">
        <v>83</v>
      </c>
      <c r="D206" s="17" t="s">
        <v>55</v>
      </c>
      <c r="E206" s="17"/>
      <c r="F206" s="17" t="s">
        <v>760</v>
      </c>
      <c r="G206" s="17" t="s">
        <v>39</v>
      </c>
      <c r="H206" s="17" t="s">
        <v>40</v>
      </c>
      <c r="I206" s="18">
        <v>40.0</v>
      </c>
      <c r="J206" s="17" t="s">
        <v>816</v>
      </c>
      <c r="K206" s="17" t="s">
        <v>760</v>
      </c>
      <c r="L206" s="17" t="s">
        <v>762</v>
      </c>
      <c r="M206" s="17" t="s">
        <v>43</v>
      </c>
      <c r="N206" s="17" t="s">
        <v>44</v>
      </c>
      <c r="O206" s="17" t="s">
        <v>45</v>
      </c>
      <c r="P206" s="17" t="s">
        <v>817</v>
      </c>
      <c r="Q206" s="17" t="s">
        <v>64</v>
      </c>
    </row>
    <row r="207" ht="60.0" customHeight="1">
      <c r="A207" s="4" t="s">
        <v>710</v>
      </c>
      <c r="C207" s="20" t="s">
        <v>367</v>
      </c>
      <c r="D207" s="20" t="s">
        <v>55</v>
      </c>
      <c r="E207" s="20"/>
      <c r="F207" s="20" t="s">
        <v>197</v>
      </c>
      <c r="G207" s="20" t="s">
        <v>39</v>
      </c>
      <c r="H207" s="20" t="s">
        <v>40</v>
      </c>
      <c r="I207" s="21">
        <v>40.0</v>
      </c>
      <c r="J207" s="20" t="s">
        <v>818</v>
      </c>
      <c r="K207" s="20" t="s">
        <v>197</v>
      </c>
      <c r="L207" s="20" t="s">
        <v>199</v>
      </c>
      <c r="M207" s="20" t="s">
        <v>200</v>
      </c>
      <c r="N207" s="20" t="s">
        <v>201</v>
      </c>
      <c r="O207" s="20" t="s">
        <v>45</v>
      </c>
      <c r="P207" s="20" t="s">
        <v>819</v>
      </c>
      <c r="Q207" s="20" t="s">
        <v>64</v>
      </c>
    </row>
    <row r="208" ht="60.0" customHeight="1">
      <c r="A208" s="4" t="s">
        <v>506</v>
      </c>
      <c r="C208" s="17" t="s">
        <v>367</v>
      </c>
      <c r="D208" s="17" t="s">
        <v>55</v>
      </c>
      <c r="E208" s="17"/>
      <c r="F208" s="17" t="s">
        <v>820</v>
      </c>
      <c r="G208" s="17" t="s">
        <v>39</v>
      </c>
      <c r="H208" s="17" t="s">
        <v>40</v>
      </c>
      <c r="I208" s="18">
        <v>40.48</v>
      </c>
      <c r="J208" s="17" t="s">
        <v>821</v>
      </c>
      <c r="K208" s="17" t="s">
        <v>820</v>
      </c>
      <c r="L208" s="17" t="s">
        <v>822</v>
      </c>
      <c r="M208" s="17" t="s">
        <v>43</v>
      </c>
      <c r="N208" s="17" t="s">
        <v>823</v>
      </c>
      <c r="O208" s="17" t="s">
        <v>45</v>
      </c>
      <c r="P208" s="17" t="s">
        <v>824</v>
      </c>
      <c r="Q208" s="17" t="s">
        <v>182</v>
      </c>
    </row>
    <row r="209" ht="60.0" customHeight="1">
      <c r="A209" s="4" t="s">
        <v>506</v>
      </c>
      <c r="C209" s="20" t="s">
        <v>91</v>
      </c>
      <c r="D209" s="20" t="s">
        <v>55</v>
      </c>
      <c r="E209" s="20"/>
      <c r="F209" s="20" t="s">
        <v>809</v>
      </c>
      <c r="G209" s="20" t="s">
        <v>39</v>
      </c>
      <c r="H209" s="20" t="s">
        <v>40</v>
      </c>
      <c r="I209" s="21">
        <v>41.0</v>
      </c>
      <c r="J209" s="20" t="s">
        <v>825</v>
      </c>
      <c r="K209" s="20" t="s">
        <v>809</v>
      </c>
      <c r="L209" s="20" t="s">
        <v>60</v>
      </c>
      <c r="M209" s="20" t="s">
        <v>61</v>
      </c>
      <c r="N209" s="20" t="s">
        <v>62</v>
      </c>
      <c r="O209" s="20" t="s">
        <v>45</v>
      </c>
      <c r="P209" s="20" t="s">
        <v>826</v>
      </c>
      <c r="Q209" s="20" t="s">
        <v>64</v>
      </c>
    </row>
    <row r="210" ht="60.0" customHeight="1">
      <c r="A210" s="4" t="s">
        <v>710</v>
      </c>
      <c r="C210" s="17" t="s">
        <v>123</v>
      </c>
      <c r="D210" s="17" t="s">
        <v>55</v>
      </c>
      <c r="E210" s="17"/>
      <c r="F210" s="17" t="s">
        <v>92</v>
      </c>
      <c r="G210" s="17" t="s">
        <v>138</v>
      </c>
      <c r="H210" s="17" t="s">
        <v>139</v>
      </c>
      <c r="I210" s="18">
        <v>41.36</v>
      </c>
      <c r="J210" s="17" t="s">
        <v>827</v>
      </c>
      <c r="K210" s="17" t="s">
        <v>92</v>
      </c>
      <c r="L210" s="17" t="s">
        <v>208</v>
      </c>
      <c r="M210" s="17" t="s">
        <v>97</v>
      </c>
      <c r="N210" s="17" t="s">
        <v>98</v>
      </c>
      <c r="O210" s="17" t="s">
        <v>45</v>
      </c>
      <c r="P210" s="17" t="s">
        <v>828</v>
      </c>
      <c r="Q210" s="17" t="s">
        <v>64</v>
      </c>
    </row>
    <row r="211" ht="60.0" customHeight="1">
      <c r="A211" s="4" t="s">
        <v>710</v>
      </c>
      <c r="C211" s="17" t="s">
        <v>290</v>
      </c>
      <c r="D211" s="17" t="s">
        <v>55</v>
      </c>
      <c r="E211" s="17"/>
      <c r="F211" s="17" t="s">
        <v>829</v>
      </c>
      <c r="G211" s="17" t="s">
        <v>93</v>
      </c>
      <c r="H211" s="17" t="s">
        <v>94</v>
      </c>
      <c r="I211" s="18">
        <v>41.82</v>
      </c>
      <c r="J211" s="17" t="s">
        <v>830</v>
      </c>
      <c r="K211" s="17" t="s">
        <v>829</v>
      </c>
      <c r="L211" s="17" t="s">
        <v>831</v>
      </c>
      <c r="M211" s="17" t="s">
        <v>142</v>
      </c>
      <c r="N211" s="17" t="s">
        <v>143</v>
      </c>
      <c r="O211" s="17" t="s">
        <v>45</v>
      </c>
      <c r="P211" s="17" t="s">
        <v>832</v>
      </c>
      <c r="Q211" s="17" t="s">
        <v>122</v>
      </c>
    </row>
    <row r="212" ht="60.0" customHeight="1">
      <c r="A212" s="4" t="s">
        <v>506</v>
      </c>
      <c r="C212" s="20" t="s">
        <v>108</v>
      </c>
      <c r="D212" s="20" t="s">
        <v>55</v>
      </c>
      <c r="E212" s="20"/>
      <c r="F212" s="20" t="s">
        <v>833</v>
      </c>
      <c r="G212" s="20" t="s">
        <v>93</v>
      </c>
      <c r="H212" s="20" t="s">
        <v>94</v>
      </c>
      <c r="I212" s="21">
        <v>42.16</v>
      </c>
      <c r="J212" s="20" t="s">
        <v>834</v>
      </c>
      <c r="K212" s="20" t="s">
        <v>833</v>
      </c>
      <c r="L212" s="20" t="s">
        <v>835</v>
      </c>
      <c r="M212" s="20" t="s">
        <v>142</v>
      </c>
      <c r="N212" s="20" t="s">
        <v>143</v>
      </c>
      <c r="O212" s="20" t="s">
        <v>45</v>
      </c>
      <c r="P212" s="20" t="s">
        <v>836</v>
      </c>
      <c r="Q212" s="20" t="s">
        <v>74</v>
      </c>
    </row>
    <row r="213" ht="60.0" customHeight="1">
      <c r="A213" s="4" t="s">
        <v>506</v>
      </c>
      <c r="C213" s="20" t="s">
        <v>131</v>
      </c>
      <c r="D213" s="20" t="s">
        <v>55</v>
      </c>
      <c r="E213" s="20"/>
      <c r="F213" s="20" t="s">
        <v>560</v>
      </c>
      <c r="G213" s="20" t="s">
        <v>39</v>
      </c>
      <c r="H213" s="20" t="s">
        <v>40</v>
      </c>
      <c r="I213" s="21">
        <v>43.79</v>
      </c>
      <c r="J213" s="20" t="s">
        <v>837</v>
      </c>
      <c r="K213" s="20" t="s">
        <v>560</v>
      </c>
      <c r="L213" s="20" t="s">
        <v>562</v>
      </c>
      <c r="M213" s="20" t="s">
        <v>326</v>
      </c>
      <c r="N213" s="20" t="s">
        <v>563</v>
      </c>
      <c r="O213" s="20" t="s">
        <v>45</v>
      </c>
      <c r="P213" s="20" t="s">
        <v>838</v>
      </c>
      <c r="Q213" s="20" t="s">
        <v>64</v>
      </c>
    </row>
    <row r="214" ht="60.0" customHeight="1">
      <c r="A214" s="4" t="s">
        <v>506</v>
      </c>
      <c r="C214" s="20" t="s">
        <v>367</v>
      </c>
      <c r="D214" s="20" t="s">
        <v>55</v>
      </c>
      <c r="E214" s="20"/>
      <c r="F214" s="20" t="s">
        <v>766</v>
      </c>
      <c r="G214" s="20" t="s">
        <v>127</v>
      </c>
      <c r="H214" s="20" t="s">
        <v>128</v>
      </c>
      <c r="I214" s="21">
        <v>44.7</v>
      </c>
      <c r="J214" s="20" t="s">
        <v>839</v>
      </c>
      <c r="K214" s="20" t="s">
        <v>766</v>
      </c>
      <c r="L214" s="20" t="s">
        <v>768</v>
      </c>
      <c r="M214" s="20" t="s">
        <v>142</v>
      </c>
      <c r="N214" s="20" t="s">
        <v>166</v>
      </c>
      <c r="O214" s="20" t="s">
        <v>45</v>
      </c>
      <c r="P214" s="20" t="s">
        <v>840</v>
      </c>
      <c r="Q214" s="20" t="s">
        <v>74</v>
      </c>
    </row>
    <row r="215" ht="60.0" customHeight="1">
      <c r="A215" s="4" t="s">
        <v>506</v>
      </c>
      <c r="C215" s="20" t="s">
        <v>115</v>
      </c>
      <c r="D215" s="20" t="s">
        <v>55</v>
      </c>
      <c r="E215" s="20"/>
      <c r="F215" s="20" t="s">
        <v>841</v>
      </c>
      <c r="G215" s="20" t="s">
        <v>39</v>
      </c>
      <c r="H215" s="20" t="s">
        <v>40</v>
      </c>
      <c r="I215" s="21">
        <v>45.25</v>
      </c>
      <c r="J215" s="20" t="s">
        <v>842</v>
      </c>
      <c r="K215" s="20" t="s">
        <v>841</v>
      </c>
      <c r="L215" s="20" t="s">
        <v>199</v>
      </c>
      <c r="M215" s="20" t="s">
        <v>200</v>
      </c>
      <c r="N215" s="20" t="s">
        <v>201</v>
      </c>
      <c r="O215" s="20" t="s">
        <v>45</v>
      </c>
      <c r="P215" s="20" t="s">
        <v>843</v>
      </c>
      <c r="Q215" s="20" t="s">
        <v>64</v>
      </c>
    </row>
    <row r="216" ht="60.0" customHeight="1">
      <c r="A216" s="4" t="s">
        <v>506</v>
      </c>
      <c r="C216" s="20" t="s">
        <v>183</v>
      </c>
      <c r="D216" s="20" t="s">
        <v>55</v>
      </c>
      <c r="E216" s="20"/>
      <c r="F216" s="20" t="s">
        <v>760</v>
      </c>
      <c r="G216" s="20" t="s">
        <v>39</v>
      </c>
      <c r="H216" s="20" t="s">
        <v>40</v>
      </c>
      <c r="I216" s="21">
        <v>45.55</v>
      </c>
      <c r="J216" s="20" t="s">
        <v>844</v>
      </c>
      <c r="K216" s="20" t="s">
        <v>760</v>
      </c>
      <c r="L216" s="20" t="s">
        <v>762</v>
      </c>
      <c r="M216" s="20" t="s">
        <v>43</v>
      </c>
      <c r="N216" s="20" t="s">
        <v>44</v>
      </c>
      <c r="O216" s="20" t="s">
        <v>45</v>
      </c>
      <c r="P216" s="20" t="s">
        <v>845</v>
      </c>
      <c r="Q216" s="20" t="s">
        <v>64</v>
      </c>
    </row>
    <row r="217" ht="60.0" customHeight="1">
      <c r="A217" s="4" t="s">
        <v>506</v>
      </c>
      <c r="C217" s="17" t="s">
        <v>54</v>
      </c>
      <c r="D217" s="17" t="s">
        <v>55</v>
      </c>
      <c r="E217" s="17"/>
      <c r="F217" s="17" t="s">
        <v>766</v>
      </c>
      <c r="G217" s="17" t="s">
        <v>127</v>
      </c>
      <c r="H217" s="17" t="s">
        <v>128</v>
      </c>
      <c r="I217" s="18">
        <v>45.91</v>
      </c>
      <c r="J217" s="17" t="s">
        <v>846</v>
      </c>
      <c r="K217" s="17" t="s">
        <v>766</v>
      </c>
      <c r="L217" s="17" t="s">
        <v>768</v>
      </c>
      <c r="M217" s="17" t="s">
        <v>142</v>
      </c>
      <c r="N217" s="17" t="s">
        <v>166</v>
      </c>
      <c r="O217" s="17" t="s">
        <v>45</v>
      </c>
      <c r="P217" s="17" t="s">
        <v>847</v>
      </c>
      <c r="Q217" s="17" t="s">
        <v>74</v>
      </c>
    </row>
    <row r="218" ht="60.0" customHeight="1">
      <c r="A218" s="4" t="s">
        <v>506</v>
      </c>
      <c r="C218" s="17" t="s">
        <v>183</v>
      </c>
      <c r="D218" s="17" t="s">
        <v>55</v>
      </c>
      <c r="E218" s="17"/>
      <c r="F218" s="17" t="s">
        <v>760</v>
      </c>
      <c r="G218" s="17" t="s">
        <v>39</v>
      </c>
      <c r="H218" s="17" t="s">
        <v>40</v>
      </c>
      <c r="I218" s="18">
        <v>46.0</v>
      </c>
      <c r="J218" s="17" t="s">
        <v>848</v>
      </c>
      <c r="K218" s="17" t="s">
        <v>760</v>
      </c>
      <c r="L218" s="17" t="s">
        <v>762</v>
      </c>
      <c r="M218" s="17" t="s">
        <v>43</v>
      </c>
      <c r="N218" s="17" t="s">
        <v>44</v>
      </c>
      <c r="O218" s="17" t="s">
        <v>45</v>
      </c>
      <c r="P218" s="17" t="s">
        <v>849</v>
      </c>
      <c r="Q218" s="17" t="s">
        <v>64</v>
      </c>
    </row>
    <row r="219" ht="60.0" customHeight="1">
      <c r="A219" s="4" t="s">
        <v>506</v>
      </c>
      <c r="C219" s="17" t="s">
        <v>108</v>
      </c>
      <c r="D219" s="17" t="s">
        <v>55</v>
      </c>
      <c r="E219" s="17"/>
      <c r="F219" s="17" t="s">
        <v>833</v>
      </c>
      <c r="G219" s="17" t="s">
        <v>93</v>
      </c>
      <c r="H219" s="17" t="s">
        <v>94</v>
      </c>
      <c r="I219" s="18">
        <v>46.06</v>
      </c>
      <c r="J219" s="17" t="s">
        <v>834</v>
      </c>
      <c r="K219" s="17" t="s">
        <v>833</v>
      </c>
      <c r="L219" s="17" t="s">
        <v>835</v>
      </c>
      <c r="M219" s="17" t="s">
        <v>142</v>
      </c>
      <c r="N219" s="17" t="s">
        <v>143</v>
      </c>
      <c r="O219" s="17" t="s">
        <v>45</v>
      </c>
      <c r="P219" s="17" t="s">
        <v>850</v>
      </c>
      <c r="Q219" s="17" t="s">
        <v>74</v>
      </c>
    </row>
    <row r="220" ht="60.0" customHeight="1">
      <c r="A220" s="22" t="s">
        <v>506</v>
      </c>
      <c r="B220" s="22"/>
      <c r="C220" s="20" t="s">
        <v>37</v>
      </c>
      <c r="D220" s="20" t="s">
        <v>55</v>
      </c>
      <c r="E220" s="20"/>
      <c r="F220" s="20" t="s">
        <v>92</v>
      </c>
      <c r="G220" s="20" t="s">
        <v>93</v>
      </c>
      <c r="H220" s="20" t="s">
        <v>94</v>
      </c>
      <c r="I220" s="21">
        <v>46.28</v>
      </c>
      <c r="J220" s="20" t="s">
        <v>851</v>
      </c>
      <c r="K220" s="20" t="s">
        <v>92</v>
      </c>
      <c r="L220" s="20" t="s">
        <v>96</v>
      </c>
      <c r="M220" s="20" t="s">
        <v>97</v>
      </c>
      <c r="N220" s="20" t="s">
        <v>98</v>
      </c>
      <c r="O220" s="20" t="s">
        <v>45</v>
      </c>
      <c r="P220" s="20" t="s">
        <v>852</v>
      </c>
      <c r="Q220" s="20" t="s">
        <v>64</v>
      </c>
    </row>
    <row r="221" ht="60.0" customHeight="1">
      <c r="A221" s="22" t="s">
        <v>506</v>
      </c>
      <c r="B221" s="22"/>
      <c r="C221" s="17" t="s">
        <v>115</v>
      </c>
      <c r="D221" s="17" t="s">
        <v>55</v>
      </c>
      <c r="E221" s="17"/>
      <c r="F221" s="17" t="s">
        <v>92</v>
      </c>
      <c r="G221" s="17" t="s">
        <v>93</v>
      </c>
      <c r="H221" s="17" t="s">
        <v>94</v>
      </c>
      <c r="I221" s="18">
        <v>47.28</v>
      </c>
      <c r="J221" s="17" t="s">
        <v>853</v>
      </c>
      <c r="K221" s="17" t="s">
        <v>92</v>
      </c>
      <c r="L221" s="17" t="s">
        <v>208</v>
      </c>
      <c r="M221" s="17" t="s">
        <v>97</v>
      </c>
      <c r="N221" s="17" t="s">
        <v>98</v>
      </c>
      <c r="O221" s="17" t="s">
        <v>45</v>
      </c>
      <c r="P221" s="17" t="s">
        <v>854</v>
      </c>
      <c r="Q221" s="17" t="s">
        <v>64</v>
      </c>
    </row>
    <row r="222" ht="60.0" customHeight="1">
      <c r="A222" s="22" t="s">
        <v>506</v>
      </c>
      <c r="B222" s="22"/>
      <c r="C222" s="20" t="s">
        <v>262</v>
      </c>
      <c r="D222" s="20" t="s">
        <v>55</v>
      </c>
      <c r="E222" s="20"/>
      <c r="F222" s="20" t="s">
        <v>157</v>
      </c>
      <c r="G222" s="20" t="s">
        <v>353</v>
      </c>
      <c r="H222" s="20" t="s">
        <v>354</v>
      </c>
      <c r="I222" s="21">
        <v>47.68</v>
      </c>
      <c r="J222" s="20" t="s">
        <v>855</v>
      </c>
      <c r="K222" s="20" t="s">
        <v>159</v>
      </c>
      <c r="L222" s="20" t="s">
        <v>86</v>
      </c>
      <c r="M222" s="20" t="s">
        <v>87</v>
      </c>
      <c r="N222" s="20" t="s">
        <v>88</v>
      </c>
      <c r="O222" s="20" t="s">
        <v>45</v>
      </c>
      <c r="P222" s="20" t="s">
        <v>856</v>
      </c>
      <c r="Q222" s="20" t="s">
        <v>90</v>
      </c>
    </row>
    <row r="223" ht="60.0" customHeight="1">
      <c r="A223" s="4" t="s">
        <v>506</v>
      </c>
      <c r="C223" s="17" t="s">
        <v>91</v>
      </c>
      <c r="D223" s="17" t="s">
        <v>55</v>
      </c>
      <c r="E223" s="17"/>
      <c r="F223" s="17" t="s">
        <v>554</v>
      </c>
      <c r="G223" s="17" t="s">
        <v>353</v>
      </c>
      <c r="H223" s="17" t="s">
        <v>354</v>
      </c>
      <c r="I223" s="18">
        <v>48.54</v>
      </c>
      <c r="J223" s="17" t="s">
        <v>857</v>
      </c>
      <c r="K223" s="17" t="s">
        <v>554</v>
      </c>
      <c r="L223" s="17" t="s">
        <v>188</v>
      </c>
      <c r="M223" s="17" t="s">
        <v>189</v>
      </c>
      <c r="N223" s="17" t="s">
        <v>190</v>
      </c>
      <c r="O223" s="17" t="s">
        <v>45</v>
      </c>
      <c r="P223" s="17" t="s">
        <v>858</v>
      </c>
      <c r="Q223" s="17" t="s">
        <v>64</v>
      </c>
    </row>
    <row r="224" ht="60.0" customHeight="1">
      <c r="A224" s="4" t="s">
        <v>506</v>
      </c>
      <c r="C224" s="20" t="s">
        <v>65</v>
      </c>
      <c r="D224" s="20" t="s">
        <v>55</v>
      </c>
      <c r="E224" s="20"/>
      <c r="F224" s="20" t="s">
        <v>859</v>
      </c>
      <c r="G224" s="20" t="s">
        <v>39</v>
      </c>
      <c r="H224" s="20" t="s">
        <v>40</v>
      </c>
      <c r="I224" s="21">
        <v>48.75</v>
      </c>
      <c r="J224" s="20" t="s">
        <v>860</v>
      </c>
      <c r="K224" s="20" t="s">
        <v>859</v>
      </c>
      <c r="L224" s="20" t="s">
        <v>861</v>
      </c>
      <c r="M224" s="20" t="s">
        <v>862</v>
      </c>
      <c r="N224" s="20" t="s">
        <v>863</v>
      </c>
      <c r="O224" s="20" t="s">
        <v>45</v>
      </c>
      <c r="P224" s="20" t="s">
        <v>864</v>
      </c>
      <c r="Q224" s="20" t="s">
        <v>64</v>
      </c>
    </row>
    <row r="225" ht="60.0" customHeight="1">
      <c r="A225" s="4" t="s">
        <v>506</v>
      </c>
      <c r="C225" s="17" t="s">
        <v>115</v>
      </c>
      <c r="D225" s="17" t="s">
        <v>55</v>
      </c>
      <c r="E225" s="17"/>
      <c r="F225" s="17" t="s">
        <v>841</v>
      </c>
      <c r="G225" s="17" t="s">
        <v>39</v>
      </c>
      <c r="H225" s="17" t="s">
        <v>40</v>
      </c>
      <c r="I225" s="18">
        <v>48.75</v>
      </c>
      <c r="J225" s="17" t="s">
        <v>865</v>
      </c>
      <c r="K225" s="17" t="s">
        <v>841</v>
      </c>
      <c r="L225" s="17" t="s">
        <v>199</v>
      </c>
      <c r="M225" s="17" t="s">
        <v>200</v>
      </c>
      <c r="N225" s="17" t="s">
        <v>201</v>
      </c>
      <c r="O225" s="17" t="s">
        <v>45</v>
      </c>
      <c r="P225" s="17" t="s">
        <v>866</v>
      </c>
      <c r="Q225" s="17" t="s">
        <v>64</v>
      </c>
    </row>
    <row r="226" ht="60.0" customHeight="1">
      <c r="A226" s="4" t="s">
        <v>506</v>
      </c>
      <c r="C226" s="17" t="s">
        <v>108</v>
      </c>
      <c r="D226" s="17" t="s">
        <v>55</v>
      </c>
      <c r="E226" s="17"/>
      <c r="F226" s="17" t="s">
        <v>859</v>
      </c>
      <c r="G226" s="17" t="s">
        <v>39</v>
      </c>
      <c r="H226" s="17" t="s">
        <v>40</v>
      </c>
      <c r="I226" s="18">
        <v>49.0</v>
      </c>
      <c r="J226" s="17" t="s">
        <v>867</v>
      </c>
      <c r="K226" s="17" t="s">
        <v>859</v>
      </c>
      <c r="L226" s="17" t="s">
        <v>861</v>
      </c>
      <c r="M226" s="17" t="s">
        <v>862</v>
      </c>
      <c r="N226" s="17" t="s">
        <v>863</v>
      </c>
      <c r="O226" s="17" t="s">
        <v>45</v>
      </c>
      <c r="P226" s="17" t="s">
        <v>868</v>
      </c>
      <c r="Q226" s="17" t="s">
        <v>64</v>
      </c>
    </row>
    <row r="227" ht="60.0" customHeight="1">
      <c r="A227" s="4" t="s">
        <v>506</v>
      </c>
      <c r="C227" s="17" t="s">
        <v>290</v>
      </c>
      <c r="D227" s="17" t="s">
        <v>55</v>
      </c>
      <c r="E227" s="17"/>
      <c r="F227" s="17" t="s">
        <v>859</v>
      </c>
      <c r="G227" s="17" t="s">
        <v>39</v>
      </c>
      <c r="H227" s="17" t="s">
        <v>40</v>
      </c>
      <c r="I227" s="18">
        <v>49.09</v>
      </c>
      <c r="J227" s="17" t="s">
        <v>869</v>
      </c>
      <c r="K227" s="17" t="s">
        <v>859</v>
      </c>
      <c r="L227" s="17" t="s">
        <v>861</v>
      </c>
      <c r="M227" s="17" t="s">
        <v>862</v>
      </c>
      <c r="N227" s="17" t="s">
        <v>863</v>
      </c>
      <c r="O227" s="17" t="s">
        <v>45</v>
      </c>
      <c r="P227" s="17" t="s">
        <v>870</v>
      </c>
      <c r="Q227" s="17" t="s">
        <v>64</v>
      </c>
    </row>
    <row r="228" ht="60.0" customHeight="1">
      <c r="A228" s="4" t="s">
        <v>506</v>
      </c>
      <c r="C228" s="20" t="s">
        <v>290</v>
      </c>
      <c r="D228" s="20" t="s">
        <v>55</v>
      </c>
      <c r="E228" s="20"/>
      <c r="F228" s="20" t="s">
        <v>766</v>
      </c>
      <c r="G228" s="20" t="s">
        <v>127</v>
      </c>
      <c r="H228" s="20" t="s">
        <v>128</v>
      </c>
      <c r="I228" s="21">
        <v>49.23</v>
      </c>
      <c r="J228" s="20" t="s">
        <v>871</v>
      </c>
      <c r="K228" s="20" t="s">
        <v>766</v>
      </c>
      <c r="L228" s="20" t="s">
        <v>768</v>
      </c>
      <c r="M228" s="20" t="s">
        <v>142</v>
      </c>
      <c r="N228" s="20" t="s">
        <v>166</v>
      </c>
      <c r="O228" s="20" t="s">
        <v>45</v>
      </c>
      <c r="P228" s="20" t="s">
        <v>872</v>
      </c>
      <c r="Q228" s="20" t="s">
        <v>74</v>
      </c>
    </row>
    <row r="229" ht="60.0" customHeight="1">
      <c r="A229" s="4" t="s">
        <v>506</v>
      </c>
      <c r="C229" s="17" t="s">
        <v>91</v>
      </c>
      <c r="D229" s="17" t="s">
        <v>55</v>
      </c>
      <c r="E229" s="17"/>
      <c r="F229" s="17" t="s">
        <v>873</v>
      </c>
      <c r="G229" s="17" t="s">
        <v>149</v>
      </c>
      <c r="H229" s="17" t="s">
        <v>150</v>
      </c>
      <c r="I229" s="18">
        <v>49.98</v>
      </c>
      <c r="J229" s="17" t="s">
        <v>874</v>
      </c>
      <c r="K229" s="17" t="s">
        <v>873</v>
      </c>
      <c r="L229" s="17" t="s">
        <v>279</v>
      </c>
      <c r="M229" s="17" t="s">
        <v>280</v>
      </c>
      <c r="N229" s="17" t="s">
        <v>281</v>
      </c>
      <c r="O229" s="17" t="s">
        <v>45</v>
      </c>
      <c r="P229" s="17" t="s">
        <v>875</v>
      </c>
      <c r="Q229" s="17" t="s">
        <v>64</v>
      </c>
    </row>
    <row r="230" ht="60.0" customHeight="1">
      <c r="A230" s="4" t="s">
        <v>506</v>
      </c>
      <c r="C230" s="20" t="s">
        <v>91</v>
      </c>
      <c r="D230" s="20" t="s">
        <v>55</v>
      </c>
      <c r="E230" s="20"/>
      <c r="F230" s="20" t="s">
        <v>876</v>
      </c>
      <c r="G230" s="20" t="s">
        <v>39</v>
      </c>
      <c r="H230" s="20" t="s">
        <v>40</v>
      </c>
      <c r="I230" s="21">
        <v>50.0</v>
      </c>
      <c r="J230" s="20" t="s">
        <v>877</v>
      </c>
      <c r="K230" s="20" t="s">
        <v>876</v>
      </c>
      <c r="L230" s="20" t="s">
        <v>188</v>
      </c>
      <c r="M230" s="20" t="s">
        <v>189</v>
      </c>
      <c r="N230" s="20" t="s">
        <v>190</v>
      </c>
      <c r="O230" s="20" t="s">
        <v>45</v>
      </c>
      <c r="P230" s="20" t="s">
        <v>878</v>
      </c>
      <c r="Q230" s="20" t="s">
        <v>64</v>
      </c>
    </row>
    <row r="231" ht="60.0" customHeight="1">
      <c r="A231" s="4" t="s">
        <v>506</v>
      </c>
      <c r="C231" s="17" t="s">
        <v>131</v>
      </c>
      <c r="D231" s="17" t="s">
        <v>55</v>
      </c>
      <c r="E231" s="17"/>
      <c r="F231" s="17" t="s">
        <v>879</v>
      </c>
      <c r="G231" s="17" t="s">
        <v>39</v>
      </c>
      <c r="H231" s="17" t="s">
        <v>40</v>
      </c>
      <c r="I231" s="18">
        <v>51.0</v>
      </c>
      <c r="J231" s="17" t="s">
        <v>880</v>
      </c>
      <c r="K231" s="17" t="s">
        <v>879</v>
      </c>
      <c r="L231" s="17" t="s">
        <v>208</v>
      </c>
      <c r="M231" s="17" t="s">
        <v>97</v>
      </c>
      <c r="N231" s="17" t="s">
        <v>98</v>
      </c>
      <c r="O231" s="17" t="s">
        <v>45</v>
      </c>
      <c r="P231" s="17" t="s">
        <v>881</v>
      </c>
      <c r="Q231" s="17" t="s">
        <v>64</v>
      </c>
    </row>
    <row r="232" ht="60.0" customHeight="1">
      <c r="A232" s="4" t="s">
        <v>506</v>
      </c>
      <c r="C232" s="17" t="s">
        <v>290</v>
      </c>
      <c r="D232" s="17" t="s">
        <v>55</v>
      </c>
      <c r="E232" s="17"/>
      <c r="F232" s="17" t="s">
        <v>560</v>
      </c>
      <c r="G232" s="17" t="s">
        <v>39</v>
      </c>
      <c r="H232" s="17" t="s">
        <v>40</v>
      </c>
      <c r="I232" s="18">
        <v>52.0</v>
      </c>
      <c r="J232" s="17" t="s">
        <v>882</v>
      </c>
      <c r="K232" s="17" t="s">
        <v>560</v>
      </c>
      <c r="L232" s="17" t="s">
        <v>562</v>
      </c>
      <c r="M232" s="17" t="s">
        <v>326</v>
      </c>
      <c r="N232" s="17" t="s">
        <v>563</v>
      </c>
      <c r="O232" s="17" t="s">
        <v>45</v>
      </c>
      <c r="P232" s="17" t="s">
        <v>883</v>
      </c>
      <c r="Q232" s="17" t="s">
        <v>64</v>
      </c>
    </row>
    <row r="233" ht="60.0" customHeight="1">
      <c r="A233" s="4" t="s">
        <v>506</v>
      </c>
      <c r="C233" s="20" t="s">
        <v>65</v>
      </c>
      <c r="D233" s="20" t="s">
        <v>55</v>
      </c>
      <c r="E233" s="20"/>
      <c r="F233" s="20" t="s">
        <v>560</v>
      </c>
      <c r="G233" s="20" t="s">
        <v>39</v>
      </c>
      <c r="H233" s="20" t="s">
        <v>40</v>
      </c>
      <c r="I233" s="21">
        <v>52.25</v>
      </c>
      <c r="J233" s="20" t="s">
        <v>884</v>
      </c>
      <c r="K233" s="20" t="s">
        <v>560</v>
      </c>
      <c r="L233" s="20" t="s">
        <v>562</v>
      </c>
      <c r="M233" s="20" t="s">
        <v>326</v>
      </c>
      <c r="N233" s="20" t="s">
        <v>563</v>
      </c>
      <c r="O233" s="20" t="s">
        <v>45</v>
      </c>
      <c r="P233" s="20" t="s">
        <v>885</v>
      </c>
      <c r="Q233" s="20" t="s">
        <v>64</v>
      </c>
    </row>
    <row r="234" ht="60.0" customHeight="1">
      <c r="A234" s="4" t="s">
        <v>506</v>
      </c>
      <c r="C234" s="17" t="s">
        <v>37</v>
      </c>
      <c r="D234" s="17" t="s">
        <v>55</v>
      </c>
      <c r="E234" s="17"/>
      <c r="F234" s="17" t="s">
        <v>92</v>
      </c>
      <c r="G234" s="17" t="s">
        <v>93</v>
      </c>
      <c r="H234" s="17" t="s">
        <v>94</v>
      </c>
      <c r="I234" s="18">
        <v>52.64</v>
      </c>
      <c r="J234" s="17" t="s">
        <v>886</v>
      </c>
      <c r="K234" s="17" t="s">
        <v>92</v>
      </c>
      <c r="L234" s="17" t="s">
        <v>96</v>
      </c>
      <c r="M234" s="17" t="s">
        <v>97</v>
      </c>
      <c r="N234" s="17" t="s">
        <v>98</v>
      </c>
      <c r="O234" s="17" t="s">
        <v>45</v>
      </c>
      <c r="P234" s="17" t="s">
        <v>887</v>
      </c>
      <c r="Q234" s="17" t="s">
        <v>64</v>
      </c>
    </row>
    <row r="235" ht="60.0" customHeight="1">
      <c r="A235" s="4" t="s">
        <v>506</v>
      </c>
      <c r="C235" s="17" t="s">
        <v>183</v>
      </c>
      <c r="D235" s="17" t="s">
        <v>55</v>
      </c>
      <c r="E235" s="17"/>
      <c r="F235" s="17" t="s">
        <v>888</v>
      </c>
      <c r="G235" s="17" t="s">
        <v>127</v>
      </c>
      <c r="H235" s="17" t="s">
        <v>128</v>
      </c>
      <c r="I235" s="18">
        <v>53.0</v>
      </c>
      <c r="J235" s="17" t="s">
        <v>889</v>
      </c>
      <c r="K235" s="17" t="s">
        <v>888</v>
      </c>
      <c r="L235" s="17" t="s">
        <v>890</v>
      </c>
      <c r="M235" s="17" t="s">
        <v>891</v>
      </c>
      <c r="N235" s="17" t="s">
        <v>892</v>
      </c>
      <c r="O235" s="17" t="s">
        <v>45</v>
      </c>
      <c r="P235" s="17" t="s">
        <v>893</v>
      </c>
      <c r="Q235" s="17" t="s">
        <v>64</v>
      </c>
    </row>
    <row r="236" ht="60.0" customHeight="1">
      <c r="A236" s="4" t="s">
        <v>506</v>
      </c>
      <c r="C236" s="20" t="s">
        <v>54</v>
      </c>
      <c r="D236" s="20" t="s">
        <v>55</v>
      </c>
      <c r="E236" s="20"/>
      <c r="F236" s="20" t="s">
        <v>766</v>
      </c>
      <c r="G236" s="20" t="s">
        <v>57</v>
      </c>
      <c r="H236" s="20" t="s">
        <v>58</v>
      </c>
      <c r="I236" s="21">
        <v>53.36</v>
      </c>
      <c r="J236" s="20" t="s">
        <v>894</v>
      </c>
      <c r="K236" s="20" t="s">
        <v>766</v>
      </c>
      <c r="L236" s="20" t="s">
        <v>768</v>
      </c>
      <c r="M236" s="20" t="s">
        <v>142</v>
      </c>
      <c r="N236" s="20" t="s">
        <v>166</v>
      </c>
      <c r="O236" s="20" t="s">
        <v>45</v>
      </c>
      <c r="P236" s="20" t="s">
        <v>895</v>
      </c>
      <c r="Q236" s="20" t="s">
        <v>74</v>
      </c>
    </row>
    <row r="237" ht="60.0" customHeight="1">
      <c r="A237" s="4" t="s">
        <v>506</v>
      </c>
      <c r="C237" s="20" t="s">
        <v>115</v>
      </c>
      <c r="D237" s="20" t="s">
        <v>55</v>
      </c>
      <c r="E237" s="20"/>
      <c r="F237" s="20" t="s">
        <v>841</v>
      </c>
      <c r="G237" s="20" t="s">
        <v>39</v>
      </c>
      <c r="H237" s="20" t="s">
        <v>40</v>
      </c>
      <c r="I237" s="21">
        <v>53.5</v>
      </c>
      <c r="J237" s="20" t="s">
        <v>896</v>
      </c>
      <c r="K237" s="20" t="s">
        <v>841</v>
      </c>
      <c r="L237" s="20" t="s">
        <v>199</v>
      </c>
      <c r="M237" s="20" t="s">
        <v>200</v>
      </c>
      <c r="N237" s="20" t="s">
        <v>201</v>
      </c>
      <c r="O237" s="20" t="s">
        <v>45</v>
      </c>
      <c r="P237" s="20" t="s">
        <v>897</v>
      </c>
      <c r="Q237" s="20" t="s">
        <v>64</v>
      </c>
    </row>
    <row r="238" ht="60.0" customHeight="1">
      <c r="A238" s="4" t="s">
        <v>506</v>
      </c>
      <c r="C238" s="17" t="s">
        <v>233</v>
      </c>
      <c r="D238" s="17" t="s">
        <v>55</v>
      </c>
      <c r="E238" s="17"/>
      <c r="F238" s="17" t="s">
        <v>898</v>
      </c>
      <c r="G238" s="17" t="s">
        <v>39</v>
      </c>
      <c r="H238" s="17" t="s">
        <v>40</v>
      </c>
      <c r="I238" s="18">
        <v>53.5</v>
      </c>
      <c r="J238" s="17" t="s">
        <v>899</v>
      </c>
      <c r="K238" s="17" t="s">
        <v>898</v>
      </c>
      <c r="L238" s="17" t="s">
        <v>208</v>
      </c>
      <c r="M238" s="17" t="s">
        <v>97</v>
      </c>
      <c r="N238" s="17" t="s">
        <v>98</v>
      </c>
      <c r="O238" s="17" t="s">
        <v>45</v>
      </c>
      <c r="P238" s="17" t="s">
        <v>900</v>
      </c>
      <c r="Q238" s="17" t="s">
        <v>64</v>
      </c>
    </row>
    <row r="239" ht="60.0" customHeight="1">
      <c r="A239" s="4" t="s">
        <v>506</v>
      </c>
      <c r="C239" s="17" t="s">
        <v>83</v>
      </c>
      <c r="D239" s="17" t="s">
        <v>55</v>
      </c>
      <c r="E239" s="17"/>
      <c r="F239" s="17" t="s">
        <v>898</v>
      </c>
      <c r="G239" s="17" t="s">
        <v>39</v>
      </c>
      <c r="H239" s="17" t="s">
        <v>40</v>
      </c>
      <c r="I239" s="18">
        <v>53.85</v>
      </c>
      <c r="J239" s="17" t="s">
        <v>901</v>
      </c>
      <c r="K239" s="17" t="s">
        <v>898</v>
      </c>
      <c r="L239" s="17" t="s">
        <v>208</v>
      </c>
      <c r="M239" s="17" t="s">
        <v>97</v>
      </c>
      <c r="N239" s="17" t="s">
        <v>98</v>
      </c>
      <c r="O239" s="17" t="s">
        <v>45</v>
      </c>
      <c r="P239" s="17" t="s">
        <v>902</v>
      </c>
      <c r="Q239" s="17" t="s">
        <v>64</v>
      </c>
    </row>
    <row r="240" ht="60.0" customHeight="1">
      <c r="A240" s="4" t="s">
        <v>506</v>
      </c>
      <c r="C240" s="20" t="s">
        <v>233</v>
      </c>
      <c r="D240" s="20" t="s">
        <v>55</v>
      </c>
      <c r="E240" s="20"/>
      <c r="F240" s="20" t="s">
        <v>809</v>
      </c>
      <c r="G240" s="20" t="s">
        <v>39</v>
      </c>
      <c r="H240" s="20" t="s">
        <v>40</v>
      </c>
      <c r="I240" s="21">
        <v>54.01</v>
      </c>
      <c r="J240" s="20" t="s">
        <v>903</v>
      </c>
      <c r="K240" s="20" t="s">
        <v>809</v>
      </c>
      <c r="L240" s="20" t="s">
        <v>60</v>
      </c>
      <c r="M240" s="20" t="s">
        <v>61</v>
      </c>
      <c r="N240" s="20" t="s">
        <v>62</v>
      </c>
      <c r="O240" s="20" t="s">
        <v>45</v>
      </c>
      <c r="P240" s="20" t="s">
        <v>904</v>
      </c>
      <c r="Q240" s="20" t="s">
        <v>64</v>
      </c>
    </row>
    <row r="241" ht="60.0" customHeight="1">
      <c r="A241" s="4" t="s">
        <v>506</v>
      </c>
      <c r="C241" s="17" t="s">
        <v>91</v>
      </c>
      <c r="D241" s="17" t="s">
        <v>55</v>
      </c>
      <c r="E241" s="17"/>
      <c r="F241" s="17" t="s">
        <v>809</v>
      </c>
      <c r="G241" s="17" t="s">
        <v>39</v>
      </c>
      <c r="H241" s="17" t="s">
        <v>40</v>
      </c>
      <c r="I241" s="18">
        <v>55.75</v>
      </c>
      <c r="J241" s="17" t="s">
        <v>905</v>
      </c>
      <c r="K241" s="17" t="s">
        <v>809</v>
      </c>
      <c r="L241" s="17" t="s">
        <v>60</v>
      </c>
      <c r="M241" s="17" t="s">
        <v>61</v>
      </c>
      <c r="N241" s="17" t="s">
        <v>62</v>
      </c>
      <c r="O241" s="17" t="s">
        <v>45</v>
      </c>
      <c r="P241" s="17" t="s">
        <v>906</v>
      </c>
      <c r="Q241" s="17" t="s">
        <v>64</v>
      </c>
    </row>
    <row r="242" ht="60.0" customHeight="1">
      <c r="A242" s="4" t="s">
        <v>506</v>
      </c>
      <c r="C242" s="17" t="s">
        <v>156</v>
      </c>
      <c r="D242" s="17" t="s">
        <v>55</v>
      </c>
      <c r="E242" s="17"/>
      <c r="F242" s="17" t="s">
        <v>907</v>
      </c>
      <c r="G242" s="17" t="s">
        <v>149</v>
      </c>
      <c r="H242" s="17" t="s">
        <v>150</v>
      </c>
      <c r="I242" s="18">
        <v>56.67</v>
      </c>
      <c r="J242" s="17" t="s">
        <v>908</v>
      </c>
      <c r="K242" s="17" t="s">
        <v>907</v>
      </c>
      <c r="L242" s="17" t="s">
        <v>208</v>
      </c>
      <c r="M242" s="17" t="s">
        <v>97</v>
      </c>
      <c r="N242" s="17" t="s">
        <v>98</v>
      </c>
      <c r="O242" s="17" t="s">
        <v>45</v>
      </c>
      <c r="P242" s="17" t="s">
        <v>909</v>
      </c>
      <c r="Q242" s="17" t="s">
        <v>64</v>
      </c>
    </row>
    <row r="243" ht="60.0" customHeight="1">
      <c r="A243" s="4" t="s">
        <v>506</v>
      </c>
      <c r="C243" s="20" t="s">
        <v>108</v>
      </c>
      <c r="D243" s="20" t="s">
        <v>55</v>
      </c>
      <c r="E243" s="20"/>
      <c r="F243" s="20" t="s">
        <v>560</v>
      </c>
      <c r="G243" s="20" t="s">
        <v>39</v>
      </c>
      <c r="H243" s="20" t="s">
        <v>40</v>
      </c>
      <c r="I243" s="21">
        <v>57.0</v>
      </c>
      <c r="J243" s="20" t="s">
        <v>910</v>
      </c>
      <c r="K243" s="20" t="s">
        <v>560</v>
      </c>
      <c r="L243" s="20" t="s">
        <v>562</v>
      </c>
      <c r="M243" s="20" t="s">
        <v>326</v>
      </c>
      <c r="N243" s="20" t="s">
        <v>563</v>
      </c>
      <c r="O243" s="20" t="s">
        <v>45</v>
      </c>
      <c r="P243" s="20" t="s">
        <v>911</v>
      </c>
      <c r="Q243" s="20" t="s">
        <v>64</v>
      </c>
    </row>
    <row r="244" ht="60.0" customHeight="1">
      <c r="A244" s="4" t="s">
        <v>506</v>
      </c>
      <c r="C244" s="17" t="s">
        <v>37</v>
      </c>
      <c r="D244" s="17" t="s">
        <v>55</v>
      </c>
      <c r="E244" s="17"/>
      <c r="F244" s="17" t="s">
        <v>799</v>
      </c>
      <c r="G244" s="17" t="s">
        <v>39</v>
      </c>
      <c r="H244" s="17" t="s">
        <v>40</v>
      </c>
      <c r="I244" s="18">
        <v>57.0</v>
      </c>
      <c r="J244" s="17" t="s">
        <v>912</v>
      </c>
      <c r="K244" s="17" t="s">
        <v>799</v>
      </c>
      <c r="L244" s="17" t="s">
        <v>801</v>
      </c>
      <c r="M244" s="17" t="s">
        <v>802</v>
      </c>
      <c r="N244" s="17" t="s">
        <v>803</v>
      </c>
      <c r="O244" s="17" t="s">
        <v>45</v>
      </c>
      <c r="P244" s="17" t="s">
        <v>913</v>
      </c>
      <c r="Q244" s="17" t="s">
        <v>64</v>
      </c>
    </row>
    <row r="245" ht="60.0" customHeight="1">
      <c r="A245" s="4" t="s">
        <v>506</v>
      </c>
      <c r="C245" s="17" t="s">
        <v>65</v>
      </c>
      <c r="D245" s="17" t="s">
        <v>55</v>
      </c>
      <c r="E245" s="17"/>
      <c r="F245" s="17" t="s">
        <v>560</v>
      </c>
      <c r="G245" s="17" t="s">
        <v>39</v>
      </c>
      <c r="H245" s="17" t="s">
        <v>40</v>
      </c>
      <c r="I245" s="18">
        <v>57.75</v>
      </c>
      <c r="J245" s="17" t="s">
        <v>914</v>
      </c>
      <c r="K245" s="17" t="s">
        <v>560</v>
      </c>
      <c r="L245" s="17" t="s">
        <v>562</v>
      </c>
      <c r="M245" s="17" t="s">
        <v>326</v>
      </c>
      <c r="N245" s="17" t="s">
        <v>563</v>
      </c>
      <c r="O245" s="17" t="s">
        <v>45</v>
      </c>
      <c r="P245" s="17" t="s">
        <v>915</v>
      </c>
      <c r="Q245" s="17" t="s">
        <v>64</v>
      </c>
    </row>
    <row r="246" ht="60.0" customHeight="1">
      <c r="A246" s="4" t="s">
        <v>506</v>
      </c>
      <c r="C246" s="20" t="s">
        <v>91</v>
      </c>
      <c r="D246" s="20" t="s">
        <v>55</v>
      </c>
      <c r="E246" s="20"/>
      <c r="F246" s="20" t="s">
        <v>809</v>
      </c>
      <c r="G246" s="20" t="s">
        <v>39</v>
      </c>
      <c r="H246" s="20" t="s">
        <v>40</v>
      </c>
      <c r="I246" s="21">
        <v>57.75</v>
      </c>
      <c r="J246" s="20" t="s">
        <v>916</v>
      </c>
      <c r="K246" s="20" t="s">
        <v>809</v>
      </c>
      <c r="L246" s="20" t="s">
        <v>60</v>
      </c>
      <c r="M246" s="20" t="s">
        <v>61</v>
      </c>
      <c r="N246" s="20" t="s">
        <v>62</v>
      </c>
      <c r="O246" s="20" t="s">
        <v>45</v>
      </c>
      <c r="P246" s="20" t="s">
        <v>917</v>
      </c>
      <c r="Q246" s="20" t="s">
        <v>64</v>
      </c>
    </row>
    <row r="247" ht="60.0" customHeight="1">
      <c r="A247" s="4" t="s">
        <v>506</v>
      </c>
      <c r="C247" s="17" t="s">
        <v>183</v>
      </c>
      <c r="D247" s="17" t="s">
        <v>55</v>
      </c>
      <c r="E247" s="17"/>
      <c r="F247" s="17" t="s">
        <v>918</v>
      </c>
      <c r="G247" s="17" t="s">
        <v>149</v>
      </c>
      <c r="H247" s="17" t="s">
        <v>150</v>
      </c>
      <c r="I247" s="18">
        <v>59.89</v>
      </c>
      <c r="J247" s="17" t="s">
        <v>919</v>
      </c>
      <c r="K247" s="17" t="s">
        <v>918</v>
      </c>
      <c r="L247" s="17" t="s">
        <v>920</v>
      </c>
      <c r="M247" s="17" t="s">
        <v>119</v>
      </c>
      <c r="N247" s="17" t="s">
        <v>120</v>
      </c>
      <c r="O247" s="17" t="s">
        <v>45</v>
      </c>
      <c r="P247" s="17" t="s">
        <v>921</v>
      </c>
      <c r="Q247" s="17" t="s">
        <v>174</v>
      </c>
    </row>
    <row r="248" ht="60.0" customHeight="1">
      <c r="A248" s="4" t="s">
        <v>506</v>
      </c>
      <c r="C248" s="17" t="s">
        <v>115</v>
      </c>
      <c r="D248" s="17" t="s">
        <v>55</v>
      </c>
      <c r="E248" s="17"/>
      <c r="F248" s="17" t="s">
        <v>766</v>
      </c>
      <c r="G248" s="17" t="s">
        <v>127</v>
      </c>
      <c r="H248" s="17" t="s">
        <v>128</v>
      </c>
      <c r="I248" s="18">
        <v>63.21</v>
      </c>
      <c r="J248" s="17" t="s">
        <v>922</v>
      </c>
      <c r="K248" s="17" t="s">
        <v>766</v>
      </c>
      <c r="L248" s="17" t="s">
        <v>768</v>
      </c>
      <c r="M248" s="17" t="s">
        <v>142</v>
      </c>
      <c r="N248" s="17" t="s">
        <v>166</v>
      </c>
      <c r="O248" s="17" t="s">
        <v>45</v>
      </c>
      <c r="P248" s="17" t="s">
        <v>923</v>
      </c>
      <c r="Q248" s="17" t="s">
        <v>74</v>
      </c>
    </row>
    <row r="249" ht="60.0" customHeight="1">
      <c r="A249" s="4" t="s">
        <v>506</v>
      </c>
      <c r="C249" s="17" t="s">
        <v>65</v>
      </c>
      <c r="D249" s="17" t="s">
        <v>55</v>
      </c>
      <c r="E249" s="17"/>
      <c r="F249" s="17" t="s">
        <v>700</v>
      </c>
      <c r="G249" s="17" t="s">
        <v>57</v>
      </c>
      <c r="H249" s="17" t="s">
        <v>58</v>
      </c>
      <c r="I249" s="18">
        <v>64.25</v>
      </c>
      <c r="J249" s="17" t="s">
        <v>924</v>
      </c>
      <c r="K249" s="17" t="s">
        <v>700</v>
      </c>
      <c r="L249" s="17" t="s">
        <v>702</v>
      </c>
      <c r="M249" s="17" t="s">
        <v>71</v>
      </c>
      <c r="N249" s="17" t="s">
        <v>112</v>
      </c>
      <c r="O249" s="17" t="s">
        <v>45</v>
      </c>
      <c r="P249" s="17" t="s">
        <v>925</v>
      </c>
      <c r="Q249" s="17" t="s">
        <v>114</v>
      </c>
    </row>
    <row r="250" ht="60.0" customHeight="1">
      <c r="A250" s="4" t="s">
        <v>506</v>
      </c>
      <c r="C250" s="17" t="s">
        <v>156</v>
      </c>
      <c r="D250" s="17" t="s">
        <v>55</v>
      </c>
      <c r="E250" s="17"/>
      <c r="F250" s="17" t="s">
        <v>833</v>
      </c>
      <c r="G250" s="17" t="s">
        <v>138</v>
      </c>
      <c r="H250" s="17" t="s">
        <v>139</v>
      </c>
      <c r="I250" s="18">
        <v>64.59</v>
      </c>
      <c r="J250" s="17" t="s">
        <v>834</v>
      </c>
      <c r="K250" s="17" t="s">
        <v>833</v>
      </c>
      <c r="L250" s="17" t="s">
        <v>835</v>
      </c>
      <c r="M250" s="17" t="s">
        <v>142</v>
      </c>
      <c r="N250" s="17" t="s">
        <v>143</v>
      </c>
      <c r="O250" s="17" t="s">
        <v>45</v>
      </c>
      <c r="P250" s="17" t="s">
        <v>926</v>
      </c>
      <c r="Q250" s="17" t="s">
        <v>74</v>
      </c>
    </row>
    <row r="251" ht="60.0" customHeight="1">
      <c r="A251" s="4" t="s">
        <v>506</v>
      </c>
      <c r="C251" s="20" t="s">
        <v>37</v>
      </c>
      <c r="D251" s="20" t="s">
        <v>55</v>
      </c>
      <c r="E251" s="20"/>
      <c r="F251" s="20" t="s">
        <v>809</v>
      </c>
      <c r="G251" s="20" t="s">
        <v>39</v>
      </c>
      <c r="H251" s="20" t="s">
        <v>40</v>
      </c>
      <c r="I251" s="21">
        <v>64.75</v>
      </c>
      <c r="J251" s="20" t="s">
        <v>927</v>
      </c>
      <c r="K251" s="20" t="s">
        <v>809</v>
      </c>
      <c r="L251" s="20" t="s">
        <v>60</v>
      </c>
      <c r="M251" s="20" t="s">
        <v>61</v>
      </c>
      <c r="N251" s="20" t="s">
        <v>62</v>
      </c>
      <c r="O251" s="20" t="s">
        <v>45</v>
      </c>
      <c r="P251" s="20" t="s">
        <v>928</v>
      </c>
      <c r="Q251" s="20" t="s">
        <v>64</v>
      </c>
    </row>
    <row r="252" ht="60.0" customHeight="1">
      <c r="A252" s="4" t="s">
        <v>506</v>
      </c>
      <c r="C252" s="20" t="s">
        <v>83</v>
      </c>
      <c r="D252" s="20" t="s">
        <v>55</v>
      </c>
      <c r="E252" s="20"/>
      <c r="F252" s="20" t="s">
        <v>929</v>
      </c>
      <c r="G252" s="20" t="s">
        <v>39</v>
      </c>
      <c r="H252" s="20" t="s">
        <v>40</v>
      </c>
      <c r="I252" s="21">
        <v>65.0</v>
      </c>
      <c r="J252" s="20" t="s">
        <v>930</v>
      </c>
      <c r="K252" s="20" t="s">
        <v>929</v>
      </c>
      <c r="L252" s="20" t="s">
        <v>931</v>
      </c>
      <c r="M252" s="20" t="s">
        <v>932</v>
      </c>
      <c r="N252" s="20" t="s">
        <v>933</v>
      </c>
      <c r="O252" s="20" t="s">
        <v>45</v>
      </c>
      <c r="P252" s="20" t="s">
        <v>934</v>
      </c>
      <c r="Q252" s="20" t="s">
        <v>935</v>
      </c>
    </row>
    <row r="253" ht="60.0" customHeight="1">
      <c r="A253" s="4" t="s">
        <v>506</v>
      </c>
      <c r="C253" s="20" t="s">
        <v>156</v>
      </c>
      <c r="D253" s="20" t="s">
        <v>55</v>
      </c>
      <c r="E253" s="20"/>
      <c r="F253" s="20" t="s">
        <v>936</v>
      </c>
      <c r="G253" s="20" t="s">
        <v>57</v>
      </c>
      <c r="H253" s="20" t="s">
        <v>58</v>
      </c>
      <c r="I253" s="21">
        <v>65.24</v>
      </c>
      <c r="J253" s="20" t="s">
        <v>937</v>
      </c>
      <c r="K253" s="20" t="s">
        <v>936</v>
      </c>
      <c r="L253" s="20" t="s">
        <v>938</v>
      </c>
      <c r="M253" s="20" t="s">
        <v>142</v>
      </c>
      <c r="N253" s="20" t="s">
        <v>180</v>
      </c>
      <c r="O253" s="20" t="s">
        <v>45</v>
      </c>
      <c r="P253" s="20" t="s">
        <v>939</v>
      </c>
      <c r="Q253" s="20" t="s">
        <v>182</v>
      </c>
    </row>
    <row r="254" ht="60.0" customHeight="1">
      <c r="A254" s="4" t="s">
        <v>710</v>
      </c>
      <c r="C254" s="17" t="s">
        <v>196</v>
      </c>
      <c r="D254" s="17" t="s">
        <v>55</v>
      </c>
      <c r="E254" s="17"/>
      <c r="F254" s="17" t="s">
        <v>197</v>
      </c>
      <c r="G254" s="17" t="s">
        <v>39</v>
      </c>
      <c r="H254" s="17" t="s">
        <v>40</v>
      </c>
      <c r="I254" s="18">
        <v>67.24</v>
      </c>
      <c r="J254" s="17" t="s">
        <v>940</v>
      </c>
      <c r="K254" s="17" t="s">
        <v>197</v>
      </c>
      <c r="L254" s="17" t="s">
        <v>199</v>
      </c>
      <c r="M254" s="17" t="s">
        <v>200</v>
      </c>
      <c r="N254" s="17" t="s">
        <v>201</v>
      </c>
      <c r="O254" s="17" t="s">
        <v>45</v>
      </c>
      <c r="P254" s="17" t="s">
        <v>941</v>
      </c>
      <c r="Q254" s="17" t="s">
        <v>64</v>
      </c>
    </row>
    <row r="255" ht="60.0" customHeight="1">
      <c r="A255" s="4" t="s">
        <v>506</v>
      </c>
      <c r="C255" s="20" t="s">
        <v>156</v>
      </c>
      <c r="D255" s="20" t="s">
        <v>55</v>
      </c>
      <c r="E255" s="20"/>
      <c r="F255" s="20" t="s">
        <v>636</v>
      </c>
      <c r="G255" s="20" t="s">
        <v>127</v>
      </c>
      <c r="H255" s="20" t="s">
        <v>128</v>
      </c>
      <c r="I255" s="21">
        <v>67.81</v>
      </c>
      <c r="J255" s="20" t="s">
        <v>942</v>
      </c>
      <c r="K255" s="20" t="s">
        <v>636</v>
      </c>
      <c r="L255" s="20" t="s">
        <v>638</v>
      </c>
      <c r="M255" s="20" t="s">
        <v>613</v>
      </c>
      <c r="N255" s="20" t="s">
        <v>614</v>
      </c>
      <c r="O255" s="20" t="s">
        <v>45</v>
      </c>
      <c r="P255" s="20" t="s">
        <v>943</v>
      </c>
      <c r="Q255" s="20" t="s">
        <v>64</v>
      </c>
    </row>
    <row r="256" ht="60.0" customHeight="1">
      <c r="A256" s="4" t="s">
        <v>710</v>
      </c>
      <c r="C256" s="20" t="s">
        <v>83</v>
      </c>
      <c r="D256" s="20" t="s">
        <v>55</v>
      </c>
      <c r="E256" s="20"/>
      <c r="F256" s="20" t="s">
        <v>636</v>
      </c>
      <c r="G256" s="20" t="s">
        <v>57</v>
      </c>
      <c r="H256" s="20" t="s">
        <v>58</v>
      </c>
      <c r="I256" s="21">
        <v>68.3</v>
      </c>
      <c r="J256" s="20" t="s">
        <v>944</v>
      </c>
      <c r="K256" s="20" t="s">
        <v>636</v>
      </c>
      <c r="L256" s="20" t="s">
        <v>638</v>
      </c>
      <c r="M256" s="20" t="s">
        <v>613</v>
      </c>
      <c r="N256" s="20" t="s">
        <v>614</v>
      </c>
      <c r="O256" s="20" t="s">
        <v>45</v>
      </c>
      <c r="P256" s="20" t="s">
        <v>945</v>
      </c>
      <c r="Q256" s="20" t="s">
        <v>64</v>
      </c>
    </row>
    <row r="257" ht="60.0" customHeight="1">
      <c r="A257" s="4" t="s">
        <v>506</v>
      </c>
      <c r="C257" s="17" t="s">
        <v>225</v>
      </c>
      <c r="D257" s="17" t="s">
        <v>55</v>
      </c>
      <c r="E257" s="17"/>
      <c r="F257" s="17" t="s">
        <v>946</v>
      </c>
      <c r="G257" s="17" t="s">
        <v>138</v>
      </c>
      <c r="H257" s="17" t="s">
        <v>139</v>
      </c>
      <c r="I257" s="18">
        <v>68.37</v>
      </c>
      <c r="J257" s="17" t="s">
        <v>947</v>
      </c>
      <c r="K257" s="17" t="s">
        <v>946</v>
      </c>
      <c r="L257" s="17" t="s">
        <v>948</v>
      </c>
      <c r="M257" s="17" t="s">
        <v>949</v>
      </c>
      <c r="N257" s="17" t="s">
        <v>950</v>
      </c>
      <c r="O257" s="17" t="s">
        <v>45</v>
      </c>
      <c r="P257" s="17" t="s">
        <v>951</v>
      </c>
      <c r="Q257" s="17" t="s">
        <v>64</v>
      </c>
    </row>
    <row r="258" ht="60.0" customHeight="1">
      <c r="A258" s="4" t="s">
        <v>710</v>
      </c>
      <c r="C258" s="20" t="s">
        <v>233</v>
      </c>
      <c r="D258" s="20" t="s">
        <v>55</v>
      </c>
      <c r="E258" s="20"/>
      <c r="F258" s="20" t="s">
        <v>952</v>
      </c>
      <c r="G258" s="20" t="s">
        <v>39</v>
      </c>
      <c r="H258" s="20" t="s">
        <v>40</v>
      </c>
      <c r="I258" s="21">
        <v>69.46</v>
      </c>
      <c r="J258" s="20" t="s">
        <v>953</v>
      </c>
      <c r="K258" s="20" t="s">
        <v>952</v>
      </c>
      <c r="L258" s="20" t="s">
        <v>954</v>
      </c>
      <c r="M258" s="20" t="s">
        <v>955</v>
      </c>
      <c r="N258" s="20" t="s">
        <v>956</v>
      </c>
      <c r="O258" s="20" t="s">
        <v>45</v>
      </c>
      <c r="P258" s="20" t="s">
        <v>957</v>
      </c>
      <c r="Q258" s="20" t="s">
        <v>174</v>
      </c>
    </row>
    <row r="259" ht="60.0" customHeight="1">
      <c r="A259" s="4" t="s">
        <v>506</v>
      </c>
      <c r="C259" s="17" t="s">
        <v>262</v>
      </c>
      <c r="D259" s="17" t="s">
        <v>55</v>
      </c>
      <c r="E259" s="17"/>
      <c r="F259" s="17" t="s">
        <v>958</v>
      </c>
      <c r="G259" s="17" t="s">
        <v>57</v>
      </c>
      <c r="H259" s="17" t="s">
        <v>58</v>
      </c>
      <c r="I259" s="18">
        <v>69.6</v>
      </c>
      <c r="J259" s="17" t="s">
        <v>959</v>
      </c>
      <c r="K259" s="17" t="s">
        <v>958</v>
      </c>
      <c r="L259" s="17" t="s">
        <v>960</v>
      </c>
      <c r="M259" s="17" t="s">
        <v>142</v>
      </c>
      <c r="N259" s="17" t="s">
        <v>143</v>
      </c>
      <c r="O259" s="17" t="s">
        <v>45</v>
      </c>
      <c r="P259" s="17" t="s">
        <v>961</v>
      </c>
      <c r="Q259" s="17" t="s">
        <v>122</v>
      </c>
    </row>
    <row r="260" ht="60.0" customHeight="1">
      <c r="A260" s="4" t="s">
        <v>506</v>
      </c>
      <c r="C260" s="20" t="s">
        <v>276</v>
      </c>
      <c r="D260" s="20" t="s">
        <v>55</v>
      </c>
      <c r="E260" s="20"/>
      <c r="F260" s="20" t="s">
        <v>946</v>
      </c>
      <c r="G260" s="20" t="s">
        <v>353</v>
      </c>
      <c r="H260" s="20" t="s">
        <v>354</v>
      </c>
      <c r="I260" s="21">
        <v>70.53</v>
      </c>
      <c r="J260" s="20" t="s">
        <v>962</v>
      </c>
      <c r="K260" s="20" t="s">
        <v>946</v>
      </c>
      <c r="L260" s="20" t="s">
        <v>948</v>
      </c>
      <c r="M260" s="20" t="s">
        <v>949</v>
      </c>
      <c r="N260" s="20" t="s">
        <v>950</v>
      </c>
      <c r="O260" s="20" t="s">
        <v>45</v>
      </c>
      <c r="P260" s="20" t="s">
        <v>963</v>
      </c>
      <c r="Q260" s="20" t="s">
        <v>64</v>
      </c>
    </row>
    <row r="261" ht="60.0" customHeight="1">
      <c r="A261" s="4" t="s">
        <v>506</v>
      </c>
      <c r="C261" s="17" t="s">
        <v>123</v>
      </c>
      <c r="D261" s="17" t="s">
        <v>55</v>
      </c>
      <c r="E261" s="17"/>
      <c r="F261" s="17" t="s">
        <v>964</v>
      </c>
      <c r="G261" s="17" t="s">
        <v>93</v>
      </c>
      <c r="H261" s="17" t="s">
        <v>94</v>
      </c>
      <c r="I261" s="18">
        <v>70.84</v>
      </c>
      <c r="J261" s="17" t="s">
        <v>965</v>
      </c>
      <c r="K261" s="17" t="s">
        <v>964</v>
      </c>
      <c r="L261" s="17" t="s">
        <v>966</v>
      </c>
      <c r="M261" s="17" t="s">
        <v>142</v>
      </c>
      <c r="N261" s="17" t="s">
        <v>180</v>
      </c>
      <c r="O261" s="17" t="s">
        <v>45</v>
      </c>
      <c r="P261" s="17" t="s">
        <v>967</v>
      </c>
      <c r="Q261" s="17" t="s">
        <v>122</v>
      </c>
    </row>
    <row r="262" ht="60.0" customHeight="1">
      <c r="A262" s="4" t="s">
        <v>506</v>
      </c>
      <c r="C262" s="20" t="s">
        <v>290</v>
      </c>
      <c r="D262" s="20" t="s">
        <v>55</v>
      </c>
      <c r="E262" s="20"/>
      <c r="F262" s="20" t="s">
        <v>560</v>
      </c>
      <c r="G262" s="20" t="s">
        <v>39</v>
      </c>
      <c r="H262" s="20" t="s">
        <v>40</v>
      </c>
      <c r="I262" s="21">
        <v>71.13</v>
      </c>
      <c r="J262" s="20" t="s">
        <v>968</v>
      </c>
      <c r="K262" s="20" t="s">
        <v>560</v>
      </c>
      <c r="L262" s="20" t="s">
        <v>562</v>
      </c>
      <c r="M262" s="20" t="s">
        <v>326</v>
      </c>
      <c r="N262" s="20" t="s">
        <v>563</v>
      </c>
      <c r="O262" s="20" t="s">
        <v>45</v>
      </c>
      <c r="P262" s="20" t="s">
        <v>969</v>
      </c>
      <c r="Q262" s="20" t="s">
        <v>64</v>
      </c>
    </row>
    <row r="263" ht="60.0" customHeight="1">
      <c r="A263" s="4" t="s">
        <v>506</v>
      </c>
      <c r="C263" s="17" t="s">
        <v>196</v>
      </c>
      <c r="D263" s="17" t="s">
        <v>55</v>
      </c>
      <c r="E263" s="17"/>
      <c r="F263" s="17" t="s">
        <v>970</v>
      </c>
      <c r="G263" s="17" t="s">
        <v>93</v>
      </c>
      <c r="H263" s="17" t="s">
        <v>94</v>
      </c>
      <c r="I263" s="18">
        <v>71.87</v>
      </c>
      <c r="J263" s="17" t="s">
        <v>971</v>
      </c>
      <c r="K263" s="17" t="s">
        <v>970</v>
      </c>
      <c r="L263" s="17" t="s">
        <v>972</v>
      </c>
      <c r="M263" s="17" t="s">
        <v>613</v>
      </c>
      <c r="N263" s="17" t="s">
        <v>614</v>
      </c>
      <c r="O263" s="17" t="s">
        <v>45</v>
      </c>
      <c r="P263" s="17" t="s">
        <v>973</v>
      </c>
      <c r="Q263" s="17" t="s">
        <v>502</v>
      </c>
    </row>
    <row r="264" ht="60.0" customHeight="1">
      <c r="A264" s="4" t="s">
        <v>506</v>
      </c>
      <c r="C264" s="17" t="s">
        <v>131</v>
      </c>
      <c r="D264" s="17" t="s">
        <v>55</v>
      </c>
      <c r="E264" s="17"/>
      <c r="F264" s="17" t="s">
        <v>56</v>
      </c>
      <c r="G264" s="17" t="s">
        <v>93</v>
      </c>
      <c r="H264" s="17" t="s">
        <v>94</v>
      </c>
      <c r="I264" s="18">
        <v>73.06</v>
      </c>
      <c r="J264" s="17" t="s">
        <v>974</v>
      </c>
      <c r="K264" s="17" t="s">
        <v>56</v>
      </c>
      <c r="L264" s="17" t="s">
        <v>60</v>
      </c>
      <c r="M264" s="17" t="s">
        <v>61</v>
      </c>
      <c r="N264" s="17" t="s">
        <v>62</v>
      </c>
      <c r="O264" s="17" t="s">
        <v>45</v>
      </c>
      <c r="P264" s="17" t="s">
        <v>975</v>
      </c>
      <c r="Q264" s="17" t="s">
        <v>64</v>
      </c>
    </row>
    <row r="265" ht="60.0" customHeight="1">
      <c r="A265" s="4" t="s">
        <v>506</v>
      </c>
      <c r="C265" s="17" t="s">
        <v>83</v>
      </c>
      <c r="D265" s="17" t="s">
        <v>55</v>
      </c>
      <c r="E265" s="17"/>
      <c r="F265" s="17" t="s">
        <v>228</v>
      </c>
      <c r="G265" s="17" t="s">
        <v>149</v>
      </c>
      <c r="H265" s="17" t="s">
        <v>150</v>
      </c>
      <c r="I265" s="18">
        <v>75.77</v>
      </c>
      <c r="J265" s="17" t="s">
        <v>976</v>
      </c>
      <c r="K265" s="17" t="s">
        <v>228</v>
      </c>
      <c r="L265" s="17" t="s">
        <v>230</v>
      </c>
      <c r="M265" s="17" t="s">
        <v>119</v>
      </c>
      <c r="N265" s="17" t="s">
        <v>231</v>
      </c>
      <c r="O265" s="17" t="s">
        <v>45</v>
      </c>
      <c r="P265" s="17" t="s">
        <v>977</v>
      </c>
      <c r="Q265" s="17" t="s">
        <v>64</v>
      </c>
    </row>
    <row r="266" ht="60.0" customHeight="1">
      <c r="A266" s="4" t="s">
        <v>506</v>
      </c>
      <c r="C266" s="20" t="s">
        <v>367</v>
      </c>
      <c r="D266" s="20" t="s">
        <v>55</v>
      </c>
      <c r="E266" s="20"/>
      <c r="F266" s="20" t="s">
        <v>92</v>
      </c>
      <c r="G266" s="20" t="s">
        <v>149</v>
      </c>
      <c r="H266" s="20" t="s">
        <v>150</v>
      </c>
      <c r="I266" s="21">
        <v>78.44</v>
      </c>
      <c r="J266" s="20" t="s">
        <v>978</v>
      </c>
      <c r="K266" s="20" t="s">
        <v>92</v>
      </c>
      <c r="L266" s="20" t="s">
        <v>208</v>
      </c>
      <c r="M266" s="20" t="s">
        <v>97</v>
      </c>
      <c r="N266" s="20" t="s">
        <v>98</v>
      </c>
      <c r="O266" s="20" t="s">
        <v>45</v>
      </c>
      <c r="P266" s="20" t="s">
        <v>979</v>
      </c>
      <c r="Q266" s="20" t="s">
        <v>64</v>
      </c>
    </row>
    <row r="267" ht="60.0" customHeight="1">
      <c r="A267" s="4" t="s">
        <v>506</v>
      </c>
      <c r="C267" s="20" t="s">
        <v>147</v>
      </c>
      <c r="D267" s="20" t="s">
        <v>55</v>
      </c>
      <c r="E267" s="20"/>
      <c r="F267" s="20" t="s">
        <v>655</v>
      </c>
      <c r="G267" s="20" t="s">
        <v>39</v>
      </c>
      <c r="H267" s="20" t="s">
        <v>40</v>
      </c>
      <c r="I267" s="21">
        <v>78.59</v>
      </c>
      <c r="J267" s="20" t="s">
        <v>980</v>
      </c>
      <c r="K267" s="20" t="s">
        <v>655</v>
      </c>
      <c r="L267" s="20" t="s">
        <v>657</v>
      </c>
      <c r="M267" s="20" t="s">
        <v>371</v>
      </c>
      <c r="N267" s="20" t="s">
        <v>372</v>
      </c>
      <c r="O267" s="20" t="s">
        <v>45</v>
      </c>
      <c r="P267" s="20" t="s">
        <v>981</v>
      </c>
      <c r="Q267" s="20" t="s">
        <v>174</v>
      </c>
    </row>
    <row r="268" ht="60.0" customHeight="1">
      <c r="A268" s="4" t="s">
        <v>506</v>
      </c>
      <c r="C268" s="17" t="s">
        <v>183</v>
      </c>
      <c r="D268" s="17" t="s">
        <v>55</v>
      </c>
      <c r="E268" s="17"/>
      <c r="F268" s="17" t="s">
        <v>982</v>
      </c>
      <c r="G268" s="17" t="s">
        <v>39</v>
      </c>
      <c r="H268" s="17" t="s">
        <v>40</v>
      </c>
      <c r="I268" s="18">
        <v>78.94</v>
      </c>
      <c r="J268" s="17" t="s">
        <v>983</v>
      </c>
      <c r="K268" s="17" t="s">
        <v>982</v>
      </c>
      <c r="L268" s="17" t="s">
        <v>984</v>
      </c>
      <c r="M268" s="17" t="s">
        <v>433</v>
      </c>
      <c r="N268" s="17" t="s">
        <v>985</v>
      </c>
      <c r="O268" s="17" t="s">
        <v>45</v>
      </c>
      <c r="P268" s="17" t="s">
        <v>986</v>
      </c>
      <c r="Q268" s="17" t="s">
        <v>182</v>
      </c>
    </row>
    <row r="269" ht="60.0" customHeight="1">
      <c r="A269" s="4" t="s">
        <v>506</v>
      </c>
      <c r="C269" s="20" t="s">
        <v>290</v>
      </c>
      <c r="D269" s="20" t="s">
        <v>55</v>
      </c>
      <c r="E269" s="20"/>
      <c r="F269" s="20" t="s">
        <v>302</v>
      </c>
      <c r="G269" s="20" t="s">
        <v>149</v>
      </c>
      <c r="H269" s="20" t="s">
        <v>150</v>
      </c>
      <c r="I269" s="21">
        <v>79.01</v>
      </c>
      <c r="J269" s="20" t="s">
        <v>987</v>
      </c>
      <c r="K269" s="20" t="s">
        <v>302</v>
      </c>
      <c r="L269" s="20" t="s">
        <v>304</v>
      </c>
      <c r="M269" s="20" t="s">
        <v>305</v>
      </c>
      <c r="N269" s="20" t="s">
        <v>306</v>
      </c>
      <c r="O269" s="20" t="s">
        <v>45</v>
      </c>
      <c r="P269" s="20" t="s">
        <v>988</v>
      </c>
      <c r="Q269" s="20" t="s">
        <v>308</v>
      </c>
    </row>
    <row r="270" ht="60.0" customHeight="1">
      <c r="A270" s="4" t="s">
        <v>506</v>
      </c>
      <c r="C270" s="20" t="s">
        <v>156</v>
      </c>
      <c r="D270" s="20" t="s">
        <v>55</v>
      </c>
      <c r="E270" s="20"/>
      <c r="F270" s="20" t="s">
        <v>302</v>
      </c>
      <c r="G270" s="20" t="s">
        <v>149</v>
      </c>
      <c r="H270" s="20" t="s">
        <v>150</v>
      </c>
      <c r="I270" s="21">
        <v>79.01</v>
      </c>
      <c r="J270" s="20" t="s">
        <v>989</v>
      </c>
      <c r="K270" s="20" t="s">
        <v>302</v>
      </c>
      <c r="L270" s="20" t="s">
        <v>304</v>
      </c>
      <c r="M270" s="20" t="s">
        <v>305</v>
      </c>
      <c r="N270" s="20" t="s">
        <v>306</v>
      </c>
      <c r="O270" s="20" t="s">
        <v>45</v>
      </c>
      <c r="P270" s="20" t="s">
        <v>990</v>
      </c>
      <c r="Q270" s="20" t="s">
        <v>308</v>
      </c>
    </row>
    <row r="271" ht="60.0" customHeight="1">
      <c r="A271" s="4" t="s">
        <v>506</v>
      </c>
      <c r="C271" s="20" t="s">
        <v>108</v>
      </c>
      <c r="D271" s="20" t="s">
        <v>55</v>
      </c>
      <c r="E271" s="20"/>
      <c r="F271" s="20" t="s">
        <v>302</v>
      </c>
      <c r="G271" s="20" t="s">
        <v>149</v>
      </c>
      <c r="H271" s="20" t="s">
        <v>150</v>
      </c>
      <c r="I271" s="21">
        <v>79.01</v>
      </c>
      <c r="J271" s="20" t="s">
        <v>991</v>
      </c>
      <c r="K271" s="20" t="s">
        <v>302</v>
      </c>
      <c r="L271" s="20" t="s">
        <v>304</v>
      </c>
      <c r="M271" s="20" t="s">
        <v>305</v>
      </c>
      <c r="N271" s="20" t="s">
        <v>306</v>
      </c>
      <c r="O271" s="20" t="s">
        <v>45</v>
      </c>
      <c r="P271" s="20" t="s">
        <v>992</v>
      </c>
      <c r="Q271" s="20" t="s">
        <v>308</v>
      </c>
    </row>
    <row r="272" ht="60.0" customHeight="1">
      <c r="A272" s="4" t="s">
        <v>506</v>
      </c>
      <c r="C272" s="17" t="s">
        <v>367</v>
      </c>
      <c r="D272" s="17" t="s">
        <v>55</v>
      </c>
      <c r="E272" s="17"/>
      <c r="F272" s="17" t="s">
        <v>92</v>
      </c>
      <c r="G272" s="17" t="s">
        <v>149</v>
      </c>
      <c r="H272" s="17" t="s">
        <v>150</v>
      </c>
      <c r="I272" s="18">
        <v>80.35</v>
      </c>
      <c r="J272" s="17" t="s">
        <v>993</v>
      </c>
      <c r="K272" s="17" t="s">
        <v>92</v>
      </c>
      <c r="L272" s="17" t="s">
        <v>208</v>
      </c>
      <c r="M272" s="17" t="s">
        <v>97</v>
      </c>
      <c r="N272" s="17" t="s">
        <v>98</v>
      </c>
      <c r="O272" s="17" t="s">
        <v>45</v>
      </c>
      <c r="P272" s="17" t="s">
        <v>994</v>
      </c>
      <c r="Q272" s="17" t="s">
        <v>64</v>
      </c>
    </row>
    <row r="273" ht="60.0" customHeight="1">
      <c r="A273" s="4" t="s">
        <v>506</v>
      </c>
      <c r="C273" s="17" t="s">
        <v>108</v>
      </c>
      <c r="D273" s="17" t="s">
        <v>55</v>
      </c>
      <c r="E273" s="17"/>
      <c r="F273" s="17" t="s">
        <v>560</v>
      </c>
      <c r="G273" s="17" t="s">
        <v>39</v>
      </c>
      <c r="H273" s="17" t="s">
        <v>40</v>
      </c>
      <c r="I273" s="18">
        <v>81.5</v>
      </c>
      <c r="J273" s="17" t="s">
        <v>995</v>
      </c>
      <c r="K273" s="17" t="s">
        <v>560</v>
      </c>
      <c r="L273" s="17" t="s">
        <v>562</v>
      </c>
      <c r="M273" s="17" t="s">
        <v>326</v>
      </c>
      <c r="N273" s="17" t="s">
        <v>563</v>
      </c>
      <c r="O273" s="17" t="s">
        <v>45</v>
      </c>
      <c r="P273" s="17" t="s">
        <v>996</v>
      </c>
      <c r="Q273" s="17" t="s">
        <v>64</v>
      </c>
    </row>
    <row r="274" ht="60.0" customHeight="1">
      <c r="A274" s="4" t="s">
        <v>710</v>
      </c>
      <c r="C274" s="17" t="s">
        <v>131</v>
      </c>
      <c r="D274" s="17" t="s">
        <v>55</v>
      </c>
      <c r="E274" s="17"/>
      <c r="F274" s="17" t="s">
        <v>560</v>
      </c>
      <c r="G274" s="17" t="s">
        <v>39</v>
      </c>
      <c r="H274" s="17" t="s">
        <v>40</v>
      </c>
      <c r="I274" s="18">
        <v>81.83</v>
      </c>
      <c r="J274" s="17" t="s">
        <v>997</v>
      </c>
      <c r="K274" s="17" t="s">
        <v>560</v>
      </c>
      <c r="L274" s="17" t="s">
        <v>562</v>
      </c>
      <c r="M274" s="17" t="s">
        <v>326</v>
      </c>
      <c r="N274" s="17" t="s">
        <v>563</v>
      </c>
      <c r="O274" s="17" t="s">
        <v>45</v>
      </c>
      <c r="P274" s="17" t="s">
        <v>998</v>
      </c>
      <c r="Q274" s="17" t="s">
        <v>64</v>
      </c>
    </row>
    <row r="275" ht="60.0" customHeight="1">
      <c r="A275" s="4" t="s">
        <v>506</v>
      </c>
      <c r="C275" s="20" t="s">
        <v>196</v>
      </c>
      <c r="D275" s="20" t="s">
        <v>55</v>
      </c>
      <c r="E275" s="20"/>
      <c r="F275" s="20" t="s">
        <v>368</v>
      </c>
      <c r="G275" s="20" t="s">
        <v>39</v>
      </c>
      <c r="H275" s="20" t="s">
        <v>40</v>
      </c>
      <c r="I275" s="21">
        <v>82.11</v>
      </c>
      <c r="J275" s="20" t="s">
        <v>999</v>
      </c>
      <c r="K275" s="20" t="s">
        <v>368</v>
      </c>
      <c r="L275" s="20" t="s">
        <v>370</v>
      </c>
      <c r="M275" s="20" t="s">
        <v>371</v>
      </c>
      <c r="N275" s="20" t="s">
        <v>372</v>
      </c>
      <c r="O275" s="20" t="s">
        <v>45</v>
      </c>
      <c r="P275" s="20" t="s">
        <v>1000</v>
      </c>
      <c r="Q275" s="20" t="s">
        <v>182</v>
      </c>
    </row>
    <row r="276" ht="60.0" customHeight="1">
      <c r="A276" s="4" t="s">
        <v>506</v>
      </c>
      <c r="C276" s="20" t="s">
        <v>134</v>
      </c>
      <c r="D276" s="20" t="s">
        <v>55</v>
      </c>
      <c r="E276" s="20"/>
      <c r="F276" s="20" t="s">
        <v>557</v>
      </c>
      <c r="G276" s="20" t="s">
        <v>138</v>
      </c>
      <c r="H276" s="20" t="s">
        <v>139</v>
      </c>
      <c r="I276" s="21">
        <v>82.49</v>
      </c>
      <c r="J276" s="20" t="s">
        <v>1001</v>
      </c>
      <c r="K276" s="20" t="s">
        <v>557</v>
      </c>
      <c r="L276" s="20" t="s">
        <v>188</v>
      </c>
      <c r="M276" s="20" t="s">
        <v>189</v>
      </c>
      <c r="N276" s="20" t="s">
        <v>190</v>
      </c>
      <c r="O276" s="20" t="s">
        <v>45</v>
      </c>
      <c r="P276" s="20" t="s">
        <v>1002</v>
      </c>
      <c r="Q276" s="20" t="s">
        <v>64</v>
      </c>
    </row>
    <row r="277" ht="60.0" customHeight="1">
      <c r="A277" s="4" t="s">
        <v>506</v>
      </c>
      <c r="C277" s="20" t="s">
        <v>183</v>
      </c>
      <c r="D277" s="20" t="s">
        <v>55</v>
      </c>
      <c r="E277" s="20"/>
      <c r="F277" s="20" t="s">
        <v>760</v>
      </c>
      <c r="G277" s="20" t="s">
        <v>39</v>
      </c>
      <c r="H277" s="20" t="s">
        <v>40</v>
      </c>
      <c r="I277" s="21">
        <v>83.25</v>
      </c>
      <c r="J277" s="20" t="s">
        <v>1003</v>
      </c>
      <c r="K277" s="20" t="s">
        <v>760</v>
      </c>
      <c r="L277" s="20" t="s">
        <v>762</v>
      </c>
      <c r="M277" s="20" t="s">
        <v>43</v>
      </c>
      <c r="N277" s="20" t="s">
        <v>44</v>
      </c>
      <c r="O277" s="20" t="s">
        <v>45</v>
      </c>
      <c r="P277" s="20" t="s">
        <v>1004</v>
      </c>
      <c r="Q277" s="20" t="s">
        <v>64</v>
      </c>
    </row>
    <row r="278" ht="60.0" customHeight="1">
      <c r="A278" s="4" t="s">
        <v>710</v>
      </c>
      <c r="C278" s="17" t="s">
        <v>65</v>
      </c>
      <c r="D278" s="17" t="s">
        <v>55</v>
      </c>
      <c r="E278" s="17"/>
      <c r="F278" s="17" t="s">
        <v>1005</v>
      </c>
      <c r="G278" s="17" t="s">
        <v>353</v>
      </c>
      <c r="H278" s="17" t="s">
        <v>354</v>
      </c>
      <c r="I278" s="18">
        <v>85.56</v>
      </c>
      <c r="J278" s="17" t="s">
        <v>1006</v>
      </c>
      <c r="K278" s="17" t="s">
        <v>1005</v>
      </c>
      <c r="L278" s="17" t="s">
        <v>1007</v>
      </c>
      <c r="M278" s="17" t="s">
        <v>1008</v>
      </c>
      <c r="N278" s="17" t="s">
        <v>1009</v>
      </c>
      <c r="O278" s="17" t="s">
        <v>45</v>
      </c>
      <c r="P278" s="17" t="s">
        <v>1010</v>
      </c>
      <c r="Q278" s="17" t="s">
        <v>182</v>
      </c>
    </row>
    <row r="279" ht="60.0" customHeight="1">
      <c r="A279" s="4" t="s">
        <v>710</v>
      </c>
      <c r="C279" s="17" t="s">
        <v>233</v>
      </c>
      <c r="D279" s="17" t="s">
        <v>55</v>
      </c>
      <c r="E279" s="17"/>
      <c r="F279" s="17" t="s">
        <v>1011</v>
      </c>
      <c r="G279" s="17" t="s">
        <v>39</v>
      </c>
      <c r="H279" s="17" t="s">
        <v>40</v>
      </c>
      <c r="I279" s="18">
        <v>86.3</v>
      </c>
      <c r="J279" s="17" t="s">
        <v>1012</v>
      </c>
      <c r="K279" s="17" t="s">
        <v>1011</v>
      </c>
      <c r="L279" s="17" t="s">
        <v>1013</v>
      </c>
      <c r="M279" s="17" t="s">
        <v>955</v>
      </c>
      <c r="N279" s="17" t="s">
        <v>1014</v>
      </c>
      <c r="O279" s="17" t="s">
        <v>45</v>
      </c>
      <c r="P279" s="17" t="s">
        <v>1015</v>
      </c>
      <c r="Q279" s="17" t="s">
        <v>174</v>
      </c>
    </row>
    <row r="280" ht="60.0" customHeight="1">
      <c r="A280" s="4" t="s">
        <v>506</v>
      </c>
      <c r="C280" s="20" t="s">
        <v>196</v>
      </c>
      <c r="D280" s="20" t="s">
        <v>55</v>
      </c>
      <c r="E280" s="20"/>
      <c r="F280" s="20" t="s">
        <v>754</v>
      </c>
      <c r="G280" s="20" t="s">
        <v>39</v>
      </c>
      <c r="H280" s="20" t="s">
        <v>40</v>
      </c>
      <c r="I280" s="21">
        <v>87.0</v>
      </c>
      <c r="J280" s="20" t="s">
        <v>1016</v>
      </c>
      <c r="K280" s="20" t="s">
        <v>754</v>
      </c>
      <c r="L280" s="20" t="s">
        <v>756</v>
      </c>
      <c r="M280" s="20" t="s">
        <v>757</v>
      </c>
      <c r="N280" s="20" t="s">
        <v>758</v>
      </c>
      <c r="O280" s="20" t="s">
        <v>45</v>
      </c>
      <c r="P280" s="20" t="s">
        <v>1017</v>
      </c>
      <c r="Q280" s="20" t="s">
        <v>64</v>
      </c>
    </row>
    <row r="281" ht="60.0" customHeight="1">
      <c r="A281" s="4" t="s">
        <v>506</v>
      </c>
      <c r="C281" s="17" t="s">
        <v>262</v>
      </c>
      <c r="D281" s="17" t="s">
        <v>55</v>
      </c>
      <c r="E281" s="17"/>
      <c r="F281" s="17" t="s">
        <v>700</v>
      </c>
      <c r="G281" s="17" t="s">
        <v>57</v>
      </c>
      <c r="H281" s="17" t="s">
        <v>58</v>
      </c>
      <c r="I281" s="18">
        <v>88.39</v>
      </c>
      <c r="J281" s="17" t="s">
        <v>1018</v>
      </c>
      <c r="K281" s="17" t="s">
        <v>700</v>
      </c>
      <c r="L281" s="17" t="s">
        <v>702</v>
      </c>
      <c r="M281" s="17" t="s">
        <v>71</v>
      </c>
      <c r="N281" s="17" t="s">
        <v>112</v>
      </c>
      <c r="O281" s="17" t="s">
        <v>45</v>
      </c>
      <c r="P281" s="17" t="s">
        <v>1019</v>
      </c>
      <c r="Q281" s="17" t="s">
        <v>114</v>
      </c>
    </row>
    <row r="282" ht="60.0" customHeight="1">
      <c r="A282" s="4" t="s">
        <v>506</v>
      </c>
      <c r="C282" s="20" t="s">
        <v>147</v>
      </c>
      <c r="D282" s="20" t="s">
        <v>55</v>
      </c>
      <c r="E282" s="20"/>
      <c r="F282" s="20" t="s">
        <v>1020</v>
      </c>
      <c r="G282" s="20" t="s">
        <v>39</v>
      </c>
      <c r="H282" s="20" t="s">
        <v>40</v>
      </c>
      <c r="I282" s="21">
        <v>90.3</v>
      </c>
      <c r="J282" s="20" t="s">
        <v>1021</v>
      </c>
      <c r="K282" s="20" t="s">
        <v>1020</v>
      </c>
      <c r="L282" s="20" t="s">
        <v>1022</v>
      </c>
      <c r="M282" s="20" t="s">
        <v>371</v>
      </c>
      <c r="N282" s="20" t="s">
        <v>372</v>
      </c>
      <c r="O282" s="20" t="s">
        <v>45</v>
      </c>
      <c r="P282" s="20" t="s">
        <v>1023</v>
      </c>
      <c r="Q282" s="20" t="s">
        <v>417</v>
      </c>
    </row>
    <row r="283" ht="60.0" customHeight="1">
      <c r="A283" s="4" t="s">
        <v>506</v>
      </c>
      <c r="C283" s="17" t="s">
        <v>301</v>
      </c>
      <c r="D283" s="17" t="s">
        <v>55</v>
      </c>
      <c r="E283" s="17"/>
      <c r="F283" s="17" t="s">
        <v>1024</v>
      </c>
      <c r="G283" s="17" t="s">
        <v>138</v>
      </c>
      <c r="H283" s="17" t="s">
        <v>139</v>
      </c>
      <c r="I283" s="18">
        <v>92.64</v>
      </c>
      <c r="J283" s="17" t="s">
        <v>1025</v>
      </c>
      <c r="K283" s="17" t="s">
        <v>1024</v>
      </c>
      <c r="L283" s="17" t="s">
        <v>1026</v>
      </c>
      <c r="M283" s="17" t="s">
        <v>142</v>
      </c>
      <c r="N283" s="17" t="s">
        <v>180</v>
      </c>
      <c r="O283" s="17" t="s">
        <v>45</v>
      </c>
      <c r="P283" s="17" t="s">
        <v>1027</v>
      </c>
      <c r="Q283" s="17" t="s">
        <v>174</v>
      </c>
    </row>
    <row r="284" ht="60.0" customHeight="1">
      <c r="A284" s="4" t="s">
        <v>506</v>
      </c>
      <c r="C284" s="17" t="s">
        <v>196</v>
      </c>
      <c r="D284" s="17" t="s">
        <v>55</v>
      </c>
      <c r="E284" s="17"/>
      <c r="F284" s="17" t="s">
        <v>655</v>
      </c>
      <c r="G284" s="17" t="s">
        <v>39</v>
      </c>
      <c r="H284" s="17" t="s">
        <v>40</v>
      </c>
      <c r="I284" s="18">
        <v>94.74</v>
      </c>
      <c r="J284" s="17" t="s">
        <v>1028</v>
      </c>
      <c r="K284" s="17" t="s">
        <v>655</v>
      </c>
      <c r="L284" s="17" t="s">
        <v>657</v>
      </c>
      <c r="M284" s="17" t="s">
        <v>371</v>
      </c>
      <c r="N284" s="17" t="s">
        <v>372</v>
      </c>
      <c r="O284" s="17" t="s">
        <v>45</v>
      </c>
      <c r="P284" s="17" t="s">
        <v>1029</v>
      </c>
      <c r="Q284" s="17" t="s">
        <v>174</v>
      </c>
    </row>
    <row r="285" ht="60.0" customHeight="1">
      <c r="A285" s="4" t="s">
        <v>506</v>
      </c>
      <c r="C285" s="17" t="s">
        <v>83</v>
      </c>
      <c r="D285" s="17" t="s">
        <v>55</v>
      </c>
      <c r="E285" s="17"/>
      <c r="F285" s="17" t="s">
        <v>1030</v>
      </c>
      <c r="G285" s="17" t="s">
        <v>39</v>
      </c>
      <c r="H285" s="17" t="s">
        <v>40</v>
      </c>
      <c r="I285" s="18">
        <v>95.91</v>
      </c>
      <c r="J285" s="17" t="s">
        <v>1031</v>
      </c>
      <c r="K285" s="17" t="s">
        <v>1030</v>
      </c>
      <c r="L285" s="17" t="s">
        <v>1032</v>
      </c>
      <c r="M285" s="17" t="s">
        <v>43</v>
      </c>
      <c r="N285" s="17" t="s">
        <v>44</v>
      </c>
      <c r="O285" s="17" t="s">
        <v>45</v>
      </c>
      <c r="P285" s="17" t="s">
        <v>1033</v>
      </c>
      <c r="Q285" s="17" t="s">
        <v>417</v>
      </c>
    </row>
    <row r="286" ht="60.0" customHeight="1">
      <c r="A286" s="4" t="s">
        <v>506</v>
      </c>
      <c r="C286" s="20" t="s">
        <v>156</v>
      </c>
      <c r="D286" s="20" t="s">
        <v>55</v>
      </c>
      <c r="E286" s="20"/>
      <c r="F286" s="20" t="s">
        <v>785</v>
      </c>
      <c r="G286" s="20" t="s">
        <v>39</v>
      </c>
      <c r="H286" s="20" t="s">
        <v>40</v>
      </c>
      <c r="I286" s="21">
        <v>96.68</v>
      </c>
      <c r="J286" s="20" t="s">
        <v>1034</v>
      </c>
      <c r="K286" s="20" t="s">
        <v>785</v>
      </c>
      <c r="L286" s="20" t="s">
        <v>787</v>
      </c>
      <c r="M286" s="20" t="s">
        <v>326</v>
      </c>
      <c r="N286" s="20" t="s">
        <v>563</v>
      </c>
      <c r="O286" s="20" t="s">
        <v>45</v>
      </c>
      <c r="P286" s="20" t="s">
        <v>1035</v>
      </c>
      <c r="Q286" s="20" t="s">
        <v>174</v>
      </c>
    </row>
    <row r="287" ht="60.0" customHeight="1">
      <c r="A287" s="4" t="s">
        <v>506</v>
      </c>
      <c r="C287" s="20" t="s">
        <v>183</v>
      </c>
      <c r="D287" s="20" t="s">
        <v>55</v>
      </c>
      <c r="E287" s="20"/>
      <c r="F287" s="20" t="s">
        <v>228</v>
      </c>
      <c r="G287" s="20" t="s">
        <v>149</v>
      </c>
      <c r="H287" s="20" t="s">
        <v>150</v>
      </c>
      <c r="I287" s="21">
        <v>98.77</v>
      </c>
      <c r="J287" s="20" t="s">
        <v>1036</v>
      </c>
      <c r="K287" s="20" t="s">
        <v>228</v>
      </c>
      <c r="L287" s="20" t="s">
        <v>230</v>
      </c>
      <c r="M287" s="20" t="s">
        <v>119</v>
      </c>
      <c r="N287" s="20" t="s">
        <v>231</v>
      </c>
      <c r="O287" s="20" t="s">
        <v>45</v>
      </c>
      <c r="P287" s="20" t="s">
        <v>1037</v>
      </c>
      <c r="Q287" s="20" t="s">
        <v>64</v>
      </c>
    </row>
    <row r="288" ht="60.0" customHeight="1">
      <c r="A288" s="4" t="s">
        <v>506</v>
      </c>
      <c r="C288" s="17" t="s">
        <v>134</v>
      </c>
      <c r="D288" s="17" t="s">
        <v>55</v>
      </c>
      <c r="E288" s="17"/>
      <c r="F288" s="17" t="s">
        <v>228</v>
      </c>
      <c r="G288" s="17" t="s">
        <v>149</v>
      </c>
      <c r="H288" s="17" t="s">
        <v>150</v>
      </c>
      <c r="I288" s="18">
        <v>98.77</v>
      </c>
      <c r="J288" s="17" t="s">
        <v>1038</v>
      </c>
      <c r="K288" s="17" t="s">
        <v>228</v>
      </c>
      <c r="L288" s="17" t="s">
        <v>230</v>
      </c>
      <c r="M288" s="17" t="s">
        <v>119</v>
      </c>
      <c r="N288" s="17" t="s">
        <v>231</v>
      </c>
      <c r="O288" s="17" t="s">
        <v>45</v>
      </c>
      <c r="P288" s="17" t="s">
        <v>1039</v>
      </c>
      <c r="Q288" s="17" t="s">
        <v>64</v>
      </c>
    </row>
    <row r="289" ht="60.0" customHeight="1">
      <c r="A289" s="4" t="s">
        <v>506</v>
      </c>
      <c r="C289" s="17" t="s">
        <v>301</v>
      </c>
      <c r="D289" s="17" t="s">
        <v>55</v>
      </c>
      <c r="E289" s="17"/>
      <c r="F289" s="17" t="s">
        <v>1040</v>
      </c>
      <c r="G289" s="17" t="s">
        <v>138</v>
      </c>
      <c r="H289" s="17" t="s">
        <v>139</v>
      </c>
      <c r="I289" s="18">
        <v>99.17</v>
      </c>
      <c r="J289" s="17" t="s">
        <v>1041</v>
      </c>
      <c r="K289" s="17" t="s">
        <v>1040</v>
      </c>
      <c r="L289" s="17" t="s">
        <v>1042</v>
      </c>
      <c r="M289" s="17" t="s">
        <v>142</v>
      </c>
      <c r="N289" s="17" t="s">
        <v>180</v>
      </c>
      <c r="O289" s="17" t="s">
        <v>45</v>
      </c>
      <c r="P289" s="17" t="s">
        <v>1043</v>
      </c>
      <c r="Q289" s="17" t="s">
        <v>182</v>
      </c>
    </row>
    <row r="290" ht="60.0" customHeight="1">
      <c r="A290" s="4" t="s">
        <v>506</v>
      </c>
      <c r="C290" s="20" t="s">
        <v>183</v>
      </c>
      <c r="D290" s="20" t="s">
        <v>55</v>
      </c>
      <c r="E290" s="20"/>
      <c r="F290" s="20" t="s">
        <v>1044</v>
      </c>
      <c r="G290" s="20" t="s">
        <v>39</v>
      </c>
      <c r="H290" s="20" t="s">
        <v>40</v>
      </c>
      <c r="I290" s="21">
        <v>99.5</v>
      </c>
      <c r="J290" s="20" t="s">
        <v>1045</v>
      </c>
      <c r="K290" s="20" t="s">
        <v>1044</v>
      </c>
      <c r="L290" s="20" t="s">
        <v>208</v>
      </c>
      <c r="M290" s="20" t="s">
        <v>97</v>
      </c>
      <c r="N290" s="20" t="s">
        <v>98</v>
      </c>
      <c r="O290" s="20" t="s">
        <v>45</v>
      </c>
      <c r="P290" s="20" t="s">
        <v>1046</v>
      </c>
      <c r="Q290" s="20" t="s">
        <v>64</v>
      </c>
    </row>
    <row r="291" ht="60.0" customHeight="1">
      <c r="A291" s="4" t="s">
        <v>506</v>
      </c>
      <c r="C291" s="17" t="s">
        <v>83</v>
      </c>
      <c r="D291" s="17" t="s">
        <v>55</v>
      </c>
      <c r="E291" s="17"/>
      <c r="F291" s="17" t="s">
        <v>554</v>
      </c>
      <c r="G291" s="17" t="s">
        <v>353</v>
      </c>
      <c r="H291" s="17" t="s">
        <v>354</v>
      </c>
      <c r="I291" s="18">
        <v>100.0</v>
      </c>
      <c r="J291" s="17" t="s">
        <v>1047</v>
      </c>
      <c r="K291" s="17" t="s">
        <v>554</v>
      </c>
      <c r="L291" s="17" t="s">
        <v>188</v>
      </c>
      <c r="M291" s="17" t="s">
        <v>189</v>
      </c>
      <c r="N291" s="17" t="s">
        <v>190</v>
      </c>
      <c r="O291" s="17" t="s">
        <v>45</v>
      </c>
      <c r="P291" s="17" t="s">
        <v>1048</v>
      </c>
      <c r="Q291" s="17" t="s">
        <v>64</v>
      </c>
    </row>
    <row r="292" ht="60.0" customHeight="1">
      <c r="A292" s="4" t="s">
        <v>506</v>
      </c>
      <c r="C292" s="20" t="s">
        <v>183</v>
      </c>
      <c r="D292" s="20" t="s">
        <v>55</v>
      </c>
      <c r="E292" s="20"/>
      <c r="F292" s="20" t="s">
        <v>554</v>
      </c>
      <c r="G292" s="20" t="s">
        <v>353</v>
      </c>
      <c r="H292" s="20" t="s">
        <v>354</v>
      </c>
      <c r="I292" s="21">
        <v>100.0</v>
      </c>
      <c r="J292" s="20" t="s">
        <v>1049</v>
      </c>
      <c r="K292" s="20" t="s">
        <v>554</v>
      </c>
      <c r="L292" s="20" t="s">
        <v>188</v>
      </c>
      <c r="M292" s="20" t="s">
        <v>189</v>
      </c>
      <c r="N292" s="20" t="s">
        <v>190</v>
      </c>
      <c r="O292" s="20" t="s">
        <v>45</v>
      </c>
      <c r="P292" s="20" t="s">
        <v>1050</v>
      </c>
      <c r="Q292" s="20" t="s">
        <v>64</v>
      </c>
    </row>
    <row r="293" ht="60.0" customHeight="1">
      <c r="A293" s="4" t="s">
        <v>506</v>
      </c>
      <c r="C293" s="20" t="s">
        <v>91</v>
      </c>
      <c r="D293" s="20" t="s">
        <v>55</v>
      </c>
      <c r="E293" s="20"/>
      <c r="F293" s="20" t="s">
        <v>554</v>
      </c>
      <c r="G293" s="20" t="s">
        <v>353</v>
      </c>
      <c r="H293" s="20" t="s">
        <v>354</v>
      </c>
      <c r="I293" s="21">
        <v>100.0</v>
      </c>
      <c r="J293" s="20" t="s">
        <v>1051</v>
      </c>
      <c r="K293" s="20" t="s">
        <v>554</v>
      </c>
      <c r="L293" s="20" t="s">
        <v>188</v>
      </c>
      <c r="M293" s="20" t="s">
        <v>189</v>
      </c>
      <c r="N293" s="20" t="s">
        <v>190</v>
      </c>
      <c r="O293" s="20" t="s">
        <v>45</v>
      </c>
      <c r="P293" s="20" t="s">
        <v>1052</v>
      </c>
      <c r="Q293" s="20" t="s">
        <v>64</v>
      </c>
    </row>
    <row r="294" ht="60.0" customHeight="1">
      <c r="A294" s="22" t="s">
        <v>506</v>
      </c>
      <c r="B294" s="22"/>
      <c r="C294" s="17" t="s">
        <v>91</v>
      </c>
      <c r="D294" s="17" t="s">
        <v>55</v>
      </c>
      <c r="E294" s="17"/>
      <c r="F294" s="17" t="s">
        <v>554</v>
      </c>
      <c r="G294" s="17" t="s">
        <v>353</v>
      </c>
      <c r="H294" s="17" t="s">
        <v>354</v>
      </c>
      <c r="I294" s="18">
        <v>100.0</v>
      </c>
      <c r="J294" s="17" t="s">
        <v>1053</v>
      </c>
      <c r="K294" s="17" t="s">
        <v>554</v>
      </c>
      <c r="L294" s="17" t="s">
        <v>188</v>
      </c>
      <c r="M294" s="17" t="s">
        <v>189</v>
      </c>
      <c r="N294" s="17" t="s">
        <v>190</v>
      </c>
      <c r="O294" s="17" t="s">
        <v>45</v>
      </c>
      <c r="P294" s="17" t="s">
        <v>1054</v>
      </c>
      <c r="Q294" s="17" t="s">
        <v>64</v>
      </c>
    </row>
    <row r="295" ht="60.0" customHeight="1">
      <c r="A295" s="4" t="s">
        <v>506</v>
      </c>
      <c r="C295" s="17" t="s">
        <v>196</v>
      </c>
      <c r="D295" s="17" t="s">
        <v>55</v>
      </c>
      <c r="E295" s="17"/>
      <c r="F295" s="17" t="s">
        <v>554</v>
      </c>
      <c r="G295" s="17" t="s">
        <v>353</v>
      </c>
      <c r="H295" s="17" t="s">
        <v>354</v>
      </c>
      <c r="I295" s="18">
        <v>100.0</v>
      </c>
      <c r="J295" s="17" t="s">
        <v>1055</v>
      </c>
      <c r="K295" s="17" t="s">
        <v>554</v>
      </c>
      <c r="L295" s="17" t="s">
        <v>188</v>
      </c>
      <c r="M295" s="17" t="s">
        <v>189</v>
      </c>
      <c r="N295" s="17" t="s">
        <v>190</v>
      </c>
      <c r="O295" s="17" t="s">
        <v>45</v>
      </c>
      <c r="P295" s="17" t="s">
        <v>1056</v>
      </c>
      <c r="Q295" s="17" t="s">
        <v>64</v>
      </c>
    </row>
    <row r="296" ht="60.0" customHeight="1">
      <c r="A296" s="4" t="s">
        <v>506</v>
      </c>
      <c r="C296" s="20" t="s">
        <v>367</v>
      </c>
      <c r="D296" s="20" t="s">
        <v>55</v>
      </c>
      <c r="E296" s="20"/>
      <c r="F296" s="20" t="s">
        <v>554</v>
      </c>
      <c r="G296" s="20" t="s">
        <v>353</v>
      </c>
      <c r="H296" s="20" t="s">
        <v>354</v>
      </c>
      <c r="I296" s="21">
        <v>100.0</v>
      </c>
      <c r="J296" s="20" t="s">
        <v>1057</v>
      </c>
      <c r="K296" s="20" t="s">
        <v>554</v>
      </c>
      <c r="L296" s="20" t="s">
        <v>188</v>
      </c>
      <c r="M296" s="20" t="s">
        <v>189</v>
      </c>
      <c r="N296" s="20" t="s">
        <v>190</v>
      </c>
      <c r="O296" s="20" t="s">
        <v>45</v>
      </c>
      <c r="P296" s="20" t="s">
        <v>1058</v>
      </c>
      <c r="Q296" s="20" t="s">
        <v>64</v>
      </c>
    </row>
    <row r="297" ht="60.0" customHeight="1">
      <c r="A297" s="4" t="s">
        <v>506</v>
      </c>
      <c r="C297" s="17" t="s">
        <v>367</v>
      </c>
      <c r="D297" s="17" t="s">
        <v>55</v>
      </c>
      <c r="E297" s="17"/>
      <c r="F297" s="17" t="s">
        <v>554</v>
      </c>
      <c r="G297" s="17" t="s">
        <v>353</v>
      </c>
      <c r="H297" s="17" t="s">
        <v>354</v>
      </c>
      <c r="I297" s="18">
        <v>100.0</v>
      </c>
      <c r="J297" s="17" t="s">
        <v>1059</v>
      </c>
      <c r="K297" s="17" t="s">
        <v>554</v>
      </c>
      <c r="L297" s="17" t="s">
        <v>188</v>
      </c>
      <c r="M297" s="17" t="s">
        <v>189</v>
      </c>
      <c r="N297" s="17" t="s">
        <v>190</v>
      </c>
      <c r="O297" s="17" t="s">
        <v>45</v>
      </c>
      <c r="P297" s="17" t="s">
        <v>1060</v>
      </c>
      <c r="Q297" s="17" t="s">
        <v>64</v>
      </c>
    </row>
    <row r="298" ht="60.0" customHeight="1">
      <c r="A298" s="4" t="s">
        <v>710</v>
      </c>
      <c r="C298" s="17" t="s">
        <v>147</v>
      </c>
      <c r="D298" s="17" t="s">
        <v>55</v>
      </c>
      <c r="E298" s="17"/>
      <c r="F298" s="17" t="s">
        <v>557</v>
      </c>
      <c r="G298" s="17" t="s">
        <v>353</v>
      </c>
      <c r="H298" s="17" t="s">
        <v>354</v>
      </c>
      <c r="I298" s="18">
        <v>100.0</v>
      </c>
      <c r="J298" s="17" t="s">
        <v>1061</v>
      </c>
      <c r="K298" s="17" t="s">
        <v>557</v>
      </c>
      <c r="L298" s="17" t="s">
        <v>188</v>
      </c>
      <c r="M298" s="17" t="s">
        <v>189</v>
      </c>
      <c r="N298" s="17" t="s">
        <v>190</v>
      </c>
      <c r="O298" s="17" t="s">
        <v>45</v>
      </c>
      <c r="P298" s="17" t="s">
        <v>1062</v>
      </c>
      <c r="Q298" s="17" t="s">
        <v>64</v>
      </c>
    </row>
    <row r="299" ht="60.0" customHeight="1">
      <c r="A299" s="4" t="s">
        <v>710</v>
      </c>
      <c r="C299" s="20" t="s">
        <v>147</v>
      </c>
      <c r="D299" s="20" t="s">
        <v>55</v>
      </c>
      <c r="E299" s="20"/>
      <c r="F299" s="20" t="s">
        <v>557</v>
      </c>
      <c r="G299" s="20" t="s">
        <v>353</v>
      </c>
      <c r="H299" s="20" t="s">
        <v>354</v>
      </c>
      <c r="I299" s="21">
        <v>100.0</v>
      </c>
      <c r="J299" s="20" t="s">
        <v>1063</v>
      </c>
      <c r="K299" s="20" t="s">
        <v>557</v>
      </c>
      <c r="L299" s="20" t="s">
        <v>188</v>
      </c>
      <c r="M299" s="20" t="s">
        <v>189</v>
      </c>
      <c r="N299" s="20" t="s">
        <v>190</v>
      </c>
      <c r="O299" s="20" t="s">
        <v>45</v>
      </c>
      <c r="P299" s="20" t="s">
        <v>1064</v>
      </c>
      <c r="Q299" s="20" t="s">
        <v>64</v>
      </c>
    </row>
    <row r="300" ht="60.0" customHeight="1">
      <c r="A300" s="4" t="s">
        <v>710</v>
      </c>
      <c r="C300" s="17" t="s">
        <v>147</v>
      </c>
      <c r="D300" s="17" t="s">
        <v>55</v>
      </c>
      <c r="E300" s="17"/>
      <c r="F300" s="17" t="s">
        <v>557</v>
      </c>
      <c r="G300" s="17" t="s">
        <v>353</v>
      </c>
      <c r="H300" s="17" t="s">
        <v>354</v>
      </c>
      <c r="I300" s="18">
        <v>100.0</v>
      </c>
      <c r="J300" s="17" t="s">
        <v>1065</v>
      </c>
      <c r="K300" s="17" t="s">
        <v>557</v>
      </c>
      <c r="L300" s="17" t="s">
        <v>188</v>
      </c>
      <c r="M300" s="17" t="s">
        <v>189</v>
      </c>
      <c r="N300" s="17" t="s">
        <v>190</v>
      </c>
      <c r="O300" s="17" t="s">
        <v>45</v>
      </c>
      <c r="P300" s="17" t="s">
        <v>1066</v>
      </c>
      <c r="Q300" s="17" t="s">
        <v>64</v>
      </c>
    </row>
    <row r="301" ht="60.0" customHeight="1">
      <c r="A301" s="4" t="s">
        <v>506</v>
      </c>
      <c r="C301" s="20" t="s">
        <v>196</v>
      </c>
      <c r="D301" s="20" t="s">
        <v>55</v>
      </c>
      <c r="E301" s="20"/>
      <c r="F301" s="20" t="s">
        <v>554</v>
      </c>
      <c r="G301" s="20" t="s">
        <v>353</v>
      </c>
      <c r="H301" s="20" t="s">
        <v>354</v>
      </c>
      <c r="I301" s="21">
        <v>100.0</v>
      </c>
      <c r="J301" s="20" t="s">
        <v>1067</v>
      </c>
      <c r="K301" s="20" t="s">
        <v>554</v>
      </c>
      <c r="L301" s="20" t="s">
        <v>188</v>
      </c>
      <c r="M301" s="20" t="s">
        <v>189</v>
      </c>
      <c r="N301" s="20" t="s">
        <v>190</v>
      </c>
      <c r="O301" s="20" t="s">
        <v>45</v>
      </c>
      <c r="P301" s="20" t="s">
        <v>1068</v>
      </c>
      <c r="Q301" s="20" t="s">
        <v>64</v>
      </c>
    </row>
    <row r="302" ht="60.0" customHeight="1">
      <c r="A302" s="4" t="s">
        <v>506</v>
      </c>
      <c r="C302" s="20" t="s">
        <v>108</v>
      </c>
      <c r="D302" s="20" t="s">
        <v>55</v>
      </c>
      <c r="E302" s="20"/>
      <c r="F302" s="20" t="s">
        <v>557</v>
      </c>
      <c r="G302" s="20" t="s">
        <v>149</v>
      </c>
      <c r="H302" s="20" t="s">
        <v>150</v>
      </c>
      <c r="I302" s="21">
        <v>100.0</v>
      </c>
      <c r="J302" s="20" t="s">
        <v>1069</v>
      </c>
      <c r="K302" s="20" t="s">
        <v>557</v>
      </c>
      <c r="L302" s="20" t="s">
        <v>188</v>
      </c>
      <c r="M302" s="20" t="s">
        <v>189</v>
      </c>
      <c r="N302" s="20" t="s">
        <v>190</v>
      </c>
      <c r="O302" s="20" t="s">
        <v>45</v>
      </c>
      <c r="P302" s="20" t="s">
        <v>1070</v>
      </c>
      <c r="Q302" s="20" t="s">
        <v>64</v>
      </c>
    </row>
    <row r="303" ht="60.0" customHeight="1">
      <c r="A303" s="4" t="s">
        <v>506</v>
      </c>
      <c r="C303" s="20" t="s">
        <v>37</v>
      </c>
      <c r="D303" s="20" t="s">
        <v>55</v>
      </c>
      <c r="E303" s="20"/>
      <c r="F303" s="20" t="s">
        <v>557</v>
      </c>
      <c r="G303" s="20" t="s">
        <v>138</v>
      </c>
      <c r="H303" s="20" t="s">
        <v>139</v>
      </c>
      <c r="I303" s="21">
        <v>100.0</v>
      </c>
      <c r="J303" s="20" t="s">
        <v>1071</v>
      </c>
      <c r="K303" s="20" t="s">
        <v>557</v>
      </c>
      <c r="L303" s="20" t="s">
        <v>188</v>
      </c>
      <c r="M303" s="20" t="s">
        <v>189</v>
      </c>
      <c r="N303" s="20" t="s">
        <v>190</v>
      </c>
      <c r="O303" s="20" t="s">
        <v>45</v>
      </c>
      <c r="P303" s="20" t="s">
        <v>1072</v>
      </c>
      <c r="Q303" s="20" t="s">
        <v>64</v>
      </c>
    </row>
    <row r="304" ht="60.0" customHeight="1">
      <c r="A304" s="4" t="s">
        <v>506</v>
      </c>
      <c r="C304" s="20" t="s">
        <v>54</v>
      </c>
      <c r="D304" s="20" t="s">
        <v>55</v>
      </c>
      <c r="E304" s="20"/>
      <c r="F304" s="20" t="s">
        <v>56</v>
      </c>
      <c r="G304" s="20" t="s">
        <v>57</v>
      </c>
      <c r="H304" s="20" t="s">
        <v>58</v>
      </c>
      <c r="I304" s="21">
        <v>100.0</v>
      </c>
      <c r="J304" s="20" t="s">
        <v>1073</v>
      </c>
      <c r="K304" s="20" t="s">
        <v>56</v>
      </c>
      <c r="L304" s="20" t="s">
        <v>60</v>
      </c>
      <c r="M304" s="20" t="s">
        <v>61</v>
      </c>
      <c r="N304" s="20" t="s">
        <v>62</v>
      </c>
      <c r="O304" s="20" t="s">
        <v>45</v>
      </c>
      <c r="P304" s="20" t="s">
        <v>1074</v>
      </c>
      <c r="Q304" s="20" t="s">
        <v>64</v>
      </c>
    </row>
    <row r="305" ht="60.0" customHeight="1">
      <c r="A305" s="4" t="s">
        <v>506</v>
      </c>
      <c r="C305" s="17" t="s">
        <v>65</v>
      </c>
      <c r="D305" s="17" t="s">
        <v>55</v>
      </c>
      <c r="E305" s="17"/>
      <c r="F305" s="17" t="s">
        <v>841</v>
      </c>
      <c r="G305" s="17" t="s">
        <v>39</v>
      </c>
      <c r="H305" s="17" t="s">
        <v>40</v>
      </c>
      <c r="I305" s="18">
        <v>101.07</v>
      </c>
      <c r="J305" s="17" t="s">
        <v>1075</v>
      </c>
      <c r="K305" s="17" t="s">
        <v>841</v>
      </c>
      <c r="L305" s="17" t="s">
        <v>199</v>
      </c>
      <c r="M305" s="17" t="s">
        <v>200</v>
      </c>
      <c r="N305" s="17" t="s">
        <v>201</v>
      </c>
      <c r="O305" s="17" t="s">
        <v>45</v>
      </c>
      <c r="P305" s="17" t="s">
        <v>1076</v>
      </c>
      <c r="Q305" s="17" t="s">
        <v>64</v>
      </c>
    </row>
    <row r="306" ht="60.0" customHeight="1">
      <c r="A306" s="4" t="s">
        <v>506</v>
      </c>
      <c r="C306" s="20" t="s">
        <v>37</v>
      </c>
      <c r="D306" s="20" t="s">
        <v>55</v>
      </c>
      <c r="E306" s="20"/>
      <c r="F306" s="20" t="s">
        <v>197</v>
      </c>
      <c r="G306" s="20" t="s">
        <v>39</v>
      </c>
      <c r="H306" s="20" t="s">
        <v>40</v>
      </c>
      <c r="I306" s="21">
        <v>102.51</v>
      </c>
      <c r="J306" s="20" t="s">
        <v>1077</v>
      </c>
      <c r="K306" s="20" t="s">
        <v>197</v>
      </c>
      <c r="L306" s="20" t="s">
        <v>199</v>
      </c>
      <c r="M306" s="20" t="s">
        <v>200</v>
      </c>
      <c r="N306" s="20" t="s">
        <v>201</v>
      </c>
      <c r="O306" s="20" t="s">
        <v>45</v>
      </c>
      <c r="P306" s="20" t="s">
        <v>1078</v>
      </c>
      <c r="Q306" s="20" t="s">
        <v>64</v>
      </c>
    </row>
    <row r="307" ht="60.0" customHeight="1">
      <c r="A307" s="4" t="s">
        <v>506</v>
      </c>
      <c r="C307" s="20" t="s">
        <v>156</v>
      </c>
      <c r="D307" s="20" t="s">
        <v>55</v>
      </c>
      <c r="E307" s="20"/>
      <c r="F307" s="20" t="s">
        <v>560</v>
      </c>
      <c r="G307" s="20" t="s">
        <v>39</v>
      </c>
      <c r="H307" s="20" t="s">
        <v>40</v>
      </c>
      <c r="I307" s="21">
        <v>107.25</v>
      </c>
      <c r="J307" s="20" t="s">
        <v>1079</v>
      </c>
      <c r="K307" s="20" t="s">
        <v>560</v>
      </c>
      <c r="L307" s="20" t="s">
        <v>562</v>
      </c>
      <c r="M307" s="20" t="s">
        <v>326</v>
      </c>
      <c r="N307" s="20" t="s">
        <v>563</v>
      </c>
      <c r="O307" s="20" t="s">
        <v>45</v>
      </c>
      <c r="P307" s="20" t="s">
        <v>1080</v>
      </c>
      <c r="Q307" s="20" t="s">
        <v>64</v>
      </c>
    </row>
    <row r="308" ht="60.0" customHeight="1">
      <c r="A308" s="22" t="s">
        <v>506</v>
      </c>
      <c r="B308" s="22"/>
      <c r="C308" s="17" t="s">
        <v>100</v>
      </c>
      <c r="D308" s="17" t="s">
        <v>55</v>
      </c>
      <c r="E308" s="17"/>
      <c r="F308" s="17" t="s">
        <v>374</v>
      </c>
      <c r="G308" s="17" t="s">
        <v>138</v>
      </c>
      <c r="H308" s="17" t="s">
        <v>139</v>
      </c>
      <c r="I308" s="18">
        <v>109.46</v>
      </c>
      <c r="J308" s="17" t="s">
        <v>1081</v>
      </c>
      <c r="K308" s="17" t="s">
        <v>374</v>
      </c>
      <c r="L308" s="17" t="s">
        <v>376</v>
      </c>
      <c r="M308" s="17" t="s">
        <v>142</v>
      </c>
      <c r="N308" s="17" t="s">
        <v>166</v>
      </c>
      <c r="O308" s="17" t="s">
        <v>45</v>
      </c>
      <c r="P308" s="17" t="s">
        <v>1082</v>
      </c>
      <c r="Q308" s="17" t="s">
        <v>74</v>
      </c>
    </row>
    <row r="309" ht="60.0" customHeight="1">
      <c r="A309" s="22" t="s">
        <v>506</v>
      </c>
      <c r="B309" s="22"/>
      <c r="C309" s="17" t="s">
        <v>65</v>
      </c>
      <c r="D309" s="17" t="s">
        <v>55</v>
      </c>
      <c r="E309" s="17"/>
      <c r="F309" s="17" t="s">
        <v>833</v>
      </c>
      <c r="G309" s="17" t="s">
        <v>93</v>
      </c>
      <c r="H309" s="17" t="s">
        <v>94</v>
      </c>
      <c r="I309" s="18">
        <v>113.76</v>
      </c>
      <c r="J309" s="17" t="s">
        <v>834</v>
      </c>
      <c r="K309" s="17" t="s">
        <v>833</v>
      </c>
      <c r="L309" s="17" t="s">
        <v>835</v>
      </c>
      <c r="M309" s="17" t="s">
        <v>142</v>
      </c>
      <c r="N309" s="17" t="s">
        <v>143</v>
      </c>
      <c r="O309" s="17" t="s">
        <v>45</v>
      </c>
      <c r="P309" s="17" t="s">
        <v>1083</v>
      </c>
      <c r="Q309" s="17" t="s">
        <v>74</v>
      </c>
    </row>
    <row r="310" ht="60.0" customHeight="1">
      <c r="A310" s="22" t="s">
        <v>506</v>
      </c>
      <c r="B310" s="22"/>
      <c r="C310" s="20" t="s">
        <v>115</v>
      </c>
      <c r="D310" s="20" t="s">
        <v>55</v>
      </c>
      <c r="E310" s="20"/>
      <c r="F310" s="20" t="s">
        <v>560</v>
      </c>
      <c r="G310" s="20" t="s">
        <v>39</v>
      </c>
      <c r="H310" s="20" t="s">
        <v>40</v>
      </c>
      <c r="I310" s="21">
        <v>114.25</v>
      </c>
      <c r="J310" s="20" t="s">
        <v>1084</v>
      </c>
      <c r="K310" s="20" t="s">
        <v>560</v>
      </c>
      <c r="L310" s="20" t="s">
        <v>562</v>
      </c>
      <c r="M310" s="20" t="s">
        <v>326</v>
      </c>
      <c r="N310" s="20" t="s">
        <v>563</v>
      </c>
      <c r="O310" s="20" t="s">
        <v>45</v>
      </c>
      <c r="P310" s="20" t="s">
        <v>1085</v>
      </c>
      <c r="Q310" s="20" t="s">
        <v>64</v>
      </c>
    </row>
    <row r="311" ht="60.0" customHeight="1">
      <c r="A311" s="4" t="s">
        <v>506</v>
      </c>
      <c r="C311" s="17" t="s">
        <v>54</v>
      </c>
      <c r="D311" s="17" t="s">
        <v>55</v>
      </c>
      <c r="E311" s="17"/>
      <c r="F311" s="17" t="s">
        <v>665</v>
      </c>
      <c r="G311" s="17" t="s">
        <v>93</v>
      </c>
      <c r="H311" s="17" t="s">
        <v>94</v>
      </c>
      <c r="I311" s="18">
        <v>117.89</v>
      </c>
      <c r="J311" s="17" t="s">
        <v>1086</v>
      </c>
      <c r="K311" s="17" t="s">
        <v>665</v>
      </c>
      <c r="L311" s="17" t="s">
        <v>667</v>
      </c>
      <c r="M311" s="17" t="s">
        <v>142</v>
      </c>
      <c r="N311" s="17" t="s">
        <v>180</v>
      </c>
      <c r="O311" s="17" t="s">
        <v>45</v>
      </c>
      <c r="P311" s="17" t="s">
        <v>1087</v>
      </c>
      <c r="Q311" s="17" t="s">
        <v>174</v>
      </c>
    </row>
    <row r="312" ht="60.0" customHeight="1">
      <c r="A312" s="22" t="s">
        <v>506</v>
      </c>
      <c r="B312" s="22"/>
      <c r="C312" s="17" t="s">
        <v>290</v>
      </c>
      <c r="D312" s="17" t="s">
        <v>55</v>
      </c>
      <c r="E312" s="17"/>
      <c r="F312" s="17" t="s">
        <v>92</v>
      </c>
      <c r="G312" s="17" t="s">
        <v>93</v>
      </c>
      <c r="H312" s="17" t="s">
        <v>94</v>
      </c>
      <c r="I312" s="18">
        <v>118.07</v>
      </c>
      <c r="J312" s="17" t="s">
        <v>1088</v>
      </c>
      <c r="K312" s="17" t="s">
        <v>92</v>
      </c>
      <c r="L312" s="17" t="s">
        <v>208</v>
      </c>
      <c r="M312" s="17" t="s">
        <v>97</v>
      </c>
      <c r="N312" s="17" t="s">
        <v>98</v>
      </c>
      <c r="O312" s="17" t="s">
        <v>45</v>
      </c>
      <c r="P312" s="17" t="s">
        <v>1089</v>
      </c>
      <c r="Q312" s="17" t="s">
        <v>64</v>
      </c>
    </row>
    <row r="313" ht="60.0" customHeight="1">
      <c r="A313" s="22" t="s">
        <v>710</v>
      </c>
      <c r="B313" s="22"/>
      <c r="C313" s="20" t="s">
        <v>65</v>
      </c>
      <c r="D313" s="20" t="s">
        <v>55</v>
      </c>
      <c r="E313" s="20"/>
      <c r="F313" s="20" t="s">
        <v>1090</v>
      </c>
      <c r="G313" s="20" t="s">
        <v>57</v>
      </c>
      <c r="H313" s="20" t="s">
        <v>58</v>
      </c>
      <c r="I313" s="21">
        <v>120.54</v>
      </c>
      <c r="J313" s="20" t="s">
        <v>1091</v>
      </c>
      <c r="K313" s="20" t="s">
        <v>1090</v>
      </c>
      <c r="L313" s="20" t="s">
        <v>60</v>
      </c>
      <c r="M313" s="20" t="s">
        <v>61</v>
      </c>
      <c r="N313" s="20" t="s">
        <v>62</v>
      </c>
      <c r="O313" s="20" t="s">
        <v>45</v>
      </c>
      <c r="P313" s="20" t="s">
        <v>1092</v>
      </c>
      <c r="Q313" s="20" t="s">
        <v>64</v>
      </c>
    </row>
    <row r="314" ht="60.0" customHeight="1">
      <c r="A314" s="4" t="s">
        <v>710</v>
      </c>
      <c r="C314" s="20" t="s">
        <v>115</v>
      </c>
      <c r="D314" s="20" t="s">
        <v>55</v>
      </c>
      <c r="E314" s="20"/>
      <c r="F314" s="20" t="s">
        <v>56</v>
      </c>
      <c r="G314" s="20" t="s">
        <v>93</v>
      </c>
      <c r="H314" s="20" t="s">
        <v>94</v>
      </c>
      <c r="I314" s="21">
        <v>124.83</v>
      </c>
      <c r="J314" s="20" t="s">
        <v>1093</v>
      </c>
      <c r="K314" s="20" t="s">
        <v>56</v>
      </c>
      <c r="L314" s="20" t="s">
        <v>60</v>
      </c>
      <c r="M314" s="20" t="s">
        <v>61</v>
      </c>
      <c r="N314" s="20" t="s">
        <v>62</v>
      </c>
      <c r="O314" s="20" t="s">
        <v>45</v>
      </c>
      <c r="P314" s="20" t="s">
        <v>1094</v>
      </c>
      <c r="Q314" s="20" t="s">
        <v>64</v>
      </c>
    </row>
    <row r="315" ht="60.0" customHeight="1">
      <c r="A315" s="4" t="s">
        <v>710</v>
      </c>
      <c r="C315" s="17" t="s">
        <v>290</v>
      </c>
      <c r="D315" s="17" t="s">
        <v>55</v>
      </c>
      <c r="E315" s="17"/>
      <c r="F315" s="17" t="s">
        <v>56</v>
      </c>
      <c r="G315" s="17" t="s">
        <v>93</v>
      </c>
      <c r="H315" s="17" t="s">
        <v>94</v>
      </c>
      <c r="I315" s="18">
        <v>125.0</v>
      </c>
      <c r="J315" s="17" t="s">
        <v>1095</v>
      </c>
      <c r="K315" s="17" t="s">
        <v>56</v>
      </c>
      <c r="L315" s="17" t="s">
        <v>60</v>
      </c>
      <c r="M315" s="17" t="s">
        <v>61</v>
      </c>
      <c r="N315" s="17" t="s">
        <v>62</v>
      </c>
      <c r="O315" s="17" t="s">
        <v>45</v>
      </c>
      <c r="P315" s="17" t="s">
        <v>1096</v>
      </c>
      <c r="Q315" s="17" t="s">
        <v>64</v>
      </c>
    </row>
    <row r="316" ht="60.0" customHeight="1">
      <c r="A316" s="4" t="s">
        <v>506</v>
      </c>
      <c r="C316" s="20" t="s">
        <v>91</v>
      </c>
      <c r="D316" s="20" t="s">
        <v>55</v>
      </c>
      <c r="E316" s="20"/>
      <c r="F316" s="20" t="s">
        <v>92</v>
      </c>
      <c r="G316" s="20" t="s">
        <v>93</v>
      </c>
      <c r="H316" s="20" t="s">
        <v>94</v>
      </c>
      <c r="I316" s="21">
        <v>127.0</v>
      </c>
      <c r="J316" s="20" t="s">
        <v>1097</v>
      </c>
      <c r="K316" s="20" t="s">
        <v>92</v>
      </c>
      <c r="L316" s="20" t="s">
        <v>208</v>
      </c>
      <c r="M316" s="20" t="s">
        <v>97</v>
      </c>
      <c r="N316" s="20" t="s">
        <v>98</v>
      </c>
      <c r="O316" s="20" t="s">
        <v>45</v>
      </c>
      <c r="P316" s="20" t="s">
        <v>1098</v>
      </c>
      <c r="Q316" s="20" t="s">
        <v>64</v>
      </c>
    </row>
    <row r="317" ht="60.0" customHeight="1">
      <c r="A317" s="4" t="s">
        <v>710</v>
      </c>
      <c r="C317" s="20" t="s">
        <v>131</v>
      </c>
      <c r="D317" s="20" t="s">
        <v>55</v>
      </c>
      <c r="E317" s="20"/>
      <c r="F317" s="20" t="s">
        <v>1099</v>
      </c>
      <c r="G317" s="20" t="s">
        <v>138</v>
      </c>
      <c r="H317" s="20" t="s">
        <v>139</v>
      </c>
      <c r="I317" s="21">
        <v>127.97</v>
      </c>
      <c r="J317" s="20" t="s">
        <v>1100</v>
      </c>
      <c r="K317" s="20" t="s">
        <v>1099</v>
      </c>
      <c r="L317" s="20" t="s">
        <v>1101</v>
      </c>
      <c r="M317" s="20" t="s">
        <v>142</v>
      </c>
      <c r="N317" s="20" t="s">
        <v>1102</v>
      </c>
      <c r="O317" s="20" t="s">
        <v>45</v>
      </c>
      <c r="P317" s="20" t="s">
        <v>1103</v>
      </c>
      <c r="Q317" s="20" t="s">
        <v>114</v>
      </c>
    </row>
    <row r="318" ht="15.75" customHeight="1">
      <c r="A318" s="4" t="s">
        <v>710</v>
      </c>
      <c r="C318" s="23" t="s">
        <v>183</v>
      </c>
      <c r="D318" s="23" t="s">
        <v>55</v>
      </c>
      <c r="E318" s="23"/>
      <c r="F318" s="23" t="s">
        <v>1044</v>
      </c>
      <c r="G318" s="23" t="s">
        <v>39</v>
      </c>
      <c r="H318" s="23" t="s">
        <v>40</v>
      </c>
      <c r="I318" s="24">
        <v>128.0</v>
      </c>
      <c r="J318" s="23" t="s">
        <v>1104</v>
      </c>
      <c r="K318" s="23" t="s">
        <v>1044</v>
      </c>
      <c r="L318" s="23" t="s">
        <v>96</v>
      </c>
      <c r="M318" s="23" t="s">
        <v>97</v>
      </c>
      <c r="N318" s="23" t="s">
        <v>98</v>
      </c>
      <c r="O318" s="23" t="s">
        <v>45</v>
      </c>
      <c r="P318" s="23" t="s">
        <v>1105</v>
      </c>
      <c r="Q318" s="23" t="s">
        <v>64</v>
      </c>
    </row>
    <row r="319" ht="15.75" customHeight="1">
      <c r="A319" s="4" t="s">
        <v>710</v>
      </c>
      <c r="C319" s="23" t="s">
        <v>115</v>
      </c>
      <c r="D319" s="23" t="s">
        <v>55</v>
      </c>
      <c r="E319" s="23"/>
      <c r="F319" s="23" t="s">
        <v>1106</v>
      </c>
      <c r="G319" s="23" t="s">
        <v>39</v>
      </c>
      <c r="H319" s="23" t="s">
        <v>40</v>
      </c>
      <c r="I319" s="24">
        <v>130.1</v>
      </c>
      <c r="J319" s="23" t="s">
        <v>1107</v>
      </c>
      <c r="K319" s="23" t="s">
        <v>1106</v>
      </c>
      <c r="L319" s="23" t="s">
        <v>1108</v>
      </c>
      <c r="M319" s="23" t="s">
        <v>633</v>
      </c>
      <c r="N319" s="23" t="s">
        <v>634</v>
      </c>
      <c r="O319" s="23" t="s">
        <v>45</v>
      </c>
      <c r="P319" s="23" t="s">
        <v>1109</v>
      </c>
      <c r="Q319" s="23" t="s">
        <v>182</v>
      </c>
    </row>
    <row r="320" ht="15.75" customHeight="1">
      <c r="A320" s="4" t="s">
        <v>710</v>
      </c>
      <c r="C320" s="25" t="s">
        <v>257</v>
      </c>
      <c r="D320" s="25" t="s">
        <v>55</v>
      </c>
      <c r="E320" s="25"/>
      <c r="F320" s="25" t="s">
        <v>1040</v>
      </c>
      <c r="G320" s="25" t="s">
        <v>138</v>
      </c>
      <c r="H320" s="25" t="s">
        <v>139</v>
      </c>
      <c r="I320" s="26">
        <v>131.78</v>
      </c>
      <c r="J320" s="25" t="s">
        <v>1110</v>
      </c>
      <c r="K320" s="25" t="s">
        <v>1040</v>
      </c>
      <c r="L320" s="25" t="s">
        <v>1042</v>
      </c>
      <c r="M320" s="25" t="s">
        <v>142</v>
      </c>
      <c r="N320" s="25" t="s">
        <v>180</v>
      </c>
      <c r="O320" s="25" t="s">
        <v>45</v>
      </c>
      <c r="P320" s="25" t="s">
        <v>1111</v>
      </c>
      <c r="Q320" s="25" t="s">
        <v>182</v>
      </c>
    </row>
    <row r="321" ht="15.75" customHeight="1">
      <c r="A321" s="4" t="s">
        <v>710</v>
      </c>
      <c r="C321" s="25" t="s">
        <v>367</v>
      </c>
      <c r="D321" s="25" t="s">
        <v>55</v>
      </c>
      <c r="E321" s="25"/>
      <c r="F321" s="25" t="s">
        <v>92</v>
      </c>
      <c r="G321" s="25" t="s">
        <v>57</v>
      </c>
      <c r="H321" s="25" t="s">
        <v>58</v>
      </c>
      <c r="I321" s="26">
        <v>133.44</v>
      </c>
      <c r="J321" s="25" t="s">
        <v>1112</v>
      </c>
      <c r="K321" s="25" t="s">
        <v>92</v>
      </c>
      <c r="L321" s="25" t="s">
        <v>208</v>
      </c>
      <c r="M321" s="25" t="s">
        <v>97</v>
      </c>
      <c r="N321" s="25" t="s">
        <v>98</v>
      </c>
      <c r="O321" s="25" t="s">
        <v>45</v>
      </c>
      <c r="P321" s="25" t="s">
        <v>1113</v>
      </c>
      <c r="Q321" s="25" t="s">
        <v>64</v>
      </c>
    </row>
    <row r="322" ht="15.75" customHeight="1">
      <c r="A322" s="22" t="s">
        <v>710</v>
      </c>
      <c r="B322" s="22"/>
      <c r="C322" s="25" t="s">
        <v>147</v>
      </c>
      <c r="D322" s="25" t="s">
        <v>55</v>
      </c>
      <c r="E322" s="25"/>
      <c r="F322" s="25" t="s">
        <v>1114</v>
      </c>
      <c r="G322" s="25" t="s">
        <v>39</v>
      </c>
      <c r="H322" s="25" t="s">
        <v>40</v>
      </c>
      <c r="I322" s="26">
        <v>142.31</v>
      </c>
      <c r="J322" s="25" t="s">
        <v>1115</v>
      </c>
      <c r="K322" s="25" t="s">
        <v>1114</v>
      </c>
      <c r="L322" s="25" t="s">
        <v>1116</v>
      </c>
      <c r="M322" s="25" t="s">
        <v>371</v>
      </c>
      <c r="N322" s="25" t="s">
        <v>1117</v>
      </c>
      <c r="O322" s="25" t="s">
        <v>45</v>
      </c>
      <c r="P322" s="25" t="s">
        <v>1118</v>
      </c>
      <c r="Q322" s="25" t="s">
        <v>1119</v>
      </c>
    </row>
    <row r="323" ht="15.75" customHeight="1">
      <c r="A323" s="22" t="s">
        <v>710</v>
      </c>
      <c r="B323" s="22"/>
      <c r="C323" s="25" t="s">
        <v>183</v>
      </c>
      <c r="D323" s="25" t="s">
        <v>55</v>
      </c>
      <c r="E323" s="25"/>
      <c r="F323" s="25" t="s">
        <v>92</v>
      </c>
      <c r="G323" s="25" t="s">
        <v>93</v>
      </c>
      <c r="H323" s="25" t="s">
        <v>94</v>
      </c>
      <c r="I323" s="26">
        <v>142.52</v>
      </c>
      <c r="J323" s="25" t="s">
        <v>1120</v>
      </c>
      <c r="K323" s="25" t="s">
        <v>92</v>
      </c>
      <c r="L323" s="25" t="s">
        <v>208</v>
      </c>
      <c r="M323" s="25" t="s">
        <v>97</v>
      </c>
      <c r="N323" s="25" t="s">
        <v>98</v>
      </c>
      <c r="O323" s="25" t="s">
        <v>45</v>
      </c>
      <c r="P323" s="25" t="s">
        <v>1121</v>
      </c>
      <c r="Q323" s="25" t="s">
        <v>64</v>
      </c>
    </row>
    <row r="324" ht="15.75" customHeight="1">
      <c r="A324" s="22" t="s">
        <v>710</v>
      </c>
      <c r="B324" s="22"/>
      <c r="C324" s="25" t="s">
        <v>367</v>
      </c>
      <c r="D324" s="25" t="s">
        <v>55</v>
      </c>
      <c r="E324" s="25"/>
      <c r="F324" s="25" t="s">
        <v>1122</v>
      </c>
      <c r="G324" s="25" t="s">
        <v>353</v>
      </c>
      <c r="H324" s="25" t="s">
        <v>354</v>
      </c>
      <c r="I324" s="26">
        <v>142.97</v>
      </c>
      <c r="J324" s="25" t="s">
        <v>1123</v>
      </c>
      <c r="K324" s="25" t="s">
        <v>1122</v>
      </c>
      <c r="L324" s="25" t="s">
        <v>1124</v>
      </c>
      <c r="M324" s="25" t="s">
        <v>305</v>
      </c>
      <c r="N324" s="25" t="s">
        <v>583</v>
      </c>
      <c r="O324" s="25" t="s">
        <v>45</v>
      </c>
      <c r="P324" s="25" t="s">
        <v>1125</v>
      </c>
      <c r="Q324" s="25" t="s">
        <v>182</v>
      </c>
    </row>
    <row r="325" ht="15.75" customHeight="1">
      <c r="A325" s="4" t="s">
        <v>710</v>
      </c>
      <c r="C325" s="25" t="s">
        <v>65</v>
      </c>
      <c r="D325" s="25" t="s">
        <v>55</v>
      </c>
      <c r="E325" s="25"/>
      <c r="F325" s="25" t="s">
        <v>785</v>
      </c>
      <c r="G325" s="25" t="s">
        <v>39</v>
      </c>
      <c r="H325" s="25" t="s">
        <v>40</v>
      </c>
      <c r="I325" s="26">
        <v>143.49</v>
      </c>
      <c r="J325" s="25" t="s">
        <v>1126</v>
      </c>
      <c r="K325" s="25" t="s">
        <v>785</v>
      </c>
      <c r="L325" s="25" t="s">
        <v>787</v>
      </c>
      <c r="M325" s="25" t="s">
        <v>326</v>
      </c>
      <c r="N325" s="25" t="s">
        <v>563</v>
      </c>
      <c r="O325" s="25" t="s">
        <v>45</v>
      </c>
      <c r="P325" s="25" t="s">
        <v>1127</v>
      </c>
      <c r="Q325" s="25" t="s">
        <v>174</v>
      </c>
    </row>
    <row r="326" ht="15.75" customHeight="1">
      <c r="A326" s="4" t="s">
        <v>710</v>
      </c>
      <c r="C326" s="25" t="s">
        <v>100</v>
      </c>
      <c r="D326" s="25" t="s">
        <v>55</v>
      </c>
      <c r="E326" s="25"/>
      <c r="F326" s="25" t="s">
        <v>157</v>
      </c>
      <c r="G326" s="25" t="s">
        <v>39</v>
      </c>
      <c r="H326" s="25" t="s">
        <v>40</v>
      </c>
      <c r="I326" s="26">
        <v>145.06</v>
      </c>
      <c r="J326" s="25" t="s">
        <v>1128</v>
      </c>
      <c r="K326" s="25" t="s">
        <v>159</v>
      </c>
      <c r="L326" s="25" t="s">
        <v>86</v>
      </c>
      <c r="M326" s="25" t="s">
        <v>87</v>
      </c>
      <c r="N326" s="25" t="s">
        <v>88</v>
      </c>
      <c r="O326" s="25" t="s">
        <v>45</v>
      </c>
      <c r="P326" s="25" t="s">
        <v>1129</v>
      </c>
      <c r="Q326" s="25" t="s">
        <v>90</v>
      </c>
    </row>
    <row r="327" ht="15.75" customHeight="1">
      <c r="A327" s="4" t="s">
        <v>710</v>
      </c>
      <c r="C327" s="25" t="s">
        <v>37</v>
      </c>
      <c r="D327" s="25" t="s">
        <v>55</v>
      </c>
      <c r="E327" s="25"/>
      <c r="F327" s="25" t="s">
        <v>1130</v>
      </c>
      <c r="G327" s="25" t="s">
        <v>353</v>
      </c>
      <c r="H327" s="25" t="s">
        <v>354</v>
      </c>
      <c r="I327" s="26">
        <v>148.19</v>
      </c>
      <c r="J327" s="25" t="s">
        <v>1131</v>
      </c>
      <c r="K327" s="25" t="s">
        <v>1130</v>
      </c>
      <c r="L327" s="25" t="s">
        <v>1132</v>
      </c>
      <c r="M327" s="25" t="s">
        <v>1133</v>
      </c>
      <c r="N327" s="25" t="s">
        <v>1134</v>
      </c>
      <c r="O327" s="25" t="s">
        <v>45</v>
      </c>
      <c r="P327" s="25" t="s">
        <v>1135</v>
      </c>
      <c r="Q327" s="25" t="s">
        <v>182</v>
      </c>
    </row>
    <row r="328" ht="15.75" customHeight="1">
      <c r="A328" s="4" t="s">
        <v>710</v>
      </c>
      <c r="C328" s="23" t="s">
        <v>91</v>
      </c>
      <c r="D328" s="23" t="s">
        <v>55</v>
      </c>
      <c r="E328" s="23"/>
      <c r="F328" s="23" t="s">
        <v>92</v>
      </c>
      <c r="G328" s="23" t="s">
        <v>93</v>
      </c>
      <c r="H328" s="23" t="s">
        <v>94</v>
      </c>
      <c r="I328" s="24">
        <v>150.0</v>
      </c>
      <c r="J328" s="23" t="s">
        <v>1136</v>
      </c>
      <c r="K328" s="23" t="s">
        <v>92</v>
      </c>
      <c r="L328" s="23" t="s">
        <v>96</v>
      </c>
      <c r="M328" s="23" t="s">
        <v>97</v>
      </c>
      <c r="N328" s="23" t="s">
        <v>98</v>
      </c>
      <c r="O328" s="23" t="s">
        <v>45</v>
      </c>
      <c r="P328" s="23" t="s">
        <v>1137</v>
      </c>
      <c r="Q328" s="23" t="s">
        <v>64</v>
      </c>
    </row>
    <row r="329" ht="15.75" customHeight="1">
      <c r="A329" s="4" t="s">
        <v>710</v>
      </c>
      <c r="C329" s="23" t="s">
        <v>147</v>
      </c>
      <c r="D329" s="23" t="s">
        <v>55</v>
      </c>
      <c r="E329" s="23"/>
      <c r="F329" s="23" t="s">
        <v>368</v>
      </c>
      <c r="G329" s="23" t="s">
        <v>39</v>
      </c>
      <c r="H329" s="23" t="s">
        <v>40</v>
      </c>
      <c r="I329" s="24">
        <v>150.54</v>
      </c>
      <c r="J329" s="23" t="s">
        <v>1138</v>
      </c>
      <c r="K329" s="23" t="s">
        <v>368</v>
      </c>
      <c r="L329" s="23" t="s">
        <v>370</v>
      </c>
      <c r="M329" s="23" t="s">
        <v>371</v>
      </c>
      <c r="N329" s="23" t="s">
        <v>372</v>
      </c>
      <c r="O329" s="23" t="s">
        <v>45</v>
      </c>
      <c r="P329" s="23" t="s">
        <v>1139</v>
      </c>
      <c r="Q329" s="23" t="s">
        <v>182</v>
      </c>
    </row>
    <row r="330" ht="15.75" customHeight="1">
      <c r="A330" s="4" t="s">
        <v>710</v>
      </c>
      <c r="C330" s="23" t="s">
        <v>233</v>
      </c>
      <c r="D330" s="23" t="s">
        <v>55</v>
      </c>
      <c r="E330" s="23"/>
      <c r="F330" s="23" t="s">
        <v>1140</v>
      </c>
      <c r="G330" s="23" t="s">
        <v>39</v>
      </c>
      <c r="H330" s="23" t="s">
        <v>40</v>
      </c>
      <c r="I330" s="24">
        <v>151.68</v>
      </c>
      <c r="J330" s="23" t="s">
        <v>1141</v>
      </c>
      <c r="K330" s="23" t="s">
        <v>1140</v>
      </c>
      <c r="L330" s="23" t="s">
        <v>1142</v>
      </c>
      <c r="M330" s="23" t="s">
        <v>119</v>
      </c>
      <c r="N330" s="23" t="s">
        <v>231</v>
      </c>
      <c r="O330" s="23" t="s">
        <v>45</v>
      </c>
      <c r="P330" s="23" t="s">
        <v>1143</v>
      </c>
      <c r="Q330" s="23" t="s">
        <v>1144</v>
      </c>
    </row>
    <row r="331" ht="15.75" customHeight="1">
      <c r="A331" s="4" t="s">
        <v>710</v>
      </c>
      <c r="C331" s="25" t="s">
        <v>115</v>
      </c>
      <c r="D331" s="25" t="s">
        <v>55</v>
      </c>
      <c r="E331" s="25"/>
      <c r="F331" s="25" t="s">
        <v>1140</v>
      </c>
      <c r="G331" s="25" t="s">
        <v>57</v>
      </c>
      <c r="H331" s="25" t="s">
        <v>58</v>
      </c>
      <c r="I331" s="26">
        <v>151.68</v>
      </c>
      <c r="J331" s="25" t="s">
        <v>1145</v>
      </c>
      <c r="K331" s="25" t="s">
        <v>1140</v>
      </c>
      <c r="L331" s="25" t="s">
        <v>1142</v>
      </c>
      <c r="M331" s="25" t="s">
        <v>119</v>
      </c>
      <c r="N331" s="25" t="s">
        <v>231</v>
      </c>
      <c r="O331" s="25" t="s">
        <v>45</v>
      </c>
      <c r="P331" s="25" t="s">
        <v>1146</v>
      </c>
      <c r="Q331" s="25" t="s">
        <v>1144</v>
      </c>
    </row>
    <row r="332" ht="15.75" customHeight="1">
      <c r="A332" s="4" t="s">
        <v>710</v>
      </c>
      <c r="C332" s="23" t="s">
        <v>131</v>
      </c>
      <c r="D332" s="23" t="s">
        <v>55</v>
      </c>
      <c r="E332" s="23"/>
      <c r="F332" s="23" t="s">
        <v>92</v>
      </c>
      <c r="G332" s="23" t="s">
        <v>138</v>
      </c>
      <c r="H332" s="23" t="s">
        <v>139</v>
      </c>
      <c r="I332" s="24">
        <v>153.49</v>
      </c>
      <c r="J332" s="23" t="s">
        <v>1147</v>
      </c>
      <c r="K332" s="23" t="s">
        <v>92</v>
      </c>
      <c r="L332" s="23" t="s">
        <v>208</v>
      </c>
      <c r="M332" s="23" t="s">
        <v>97</v>
      </c>
      <c r="N332" s="23" t="s">
        <v>98</v>
      </c>
      <c r="O332" s="23" t="s">
        <v>45</v>
      </c>
      <c r="P332" s="23" t="s">
        <v>1148</v>
      </c>
      <c r="Q332" s="23" t="s">
        <v>64</v>
      </c>
    </row>
    <row r="333" ht="15.75" customHeight="1">
      <c r="A333" s="4" t="s">
        <v>710</v>
      </c>
      <c r="C333" s="25" t="s">
        <v>108</v>
      </c>
      <c r="D333" s="25" t="s">
        <v>55</v>
      </c>
      <c r="E333" s="25"/>
      <c r="F333" s="25" t="s">
        <v>1149</v>
      </c>
      <c r="G333" s="25" t="s">
        <v>67</v>
      </c>
      <c r="H333" s="25" t="s">
        <v>68</v>
      </c>
      <c r="I333" s="26">
        <v>154.05</v>
      </c>
      <c r="J333" s="25" t="s">
        <v>1150</v>
      </c>
      <c r="K333" s="25" t="s">
        <v>1149</v>
      </c>
      <c r="L333" s="25" t="s">
        <v>1151</v>
      </c>
      <c r="M333" s="25" t="s">
        <v>1152</v>
      </c>
      <c r="N333" s="25" t="s">
        <v>1153</v>
      </c>
      <c r="O333" s="25" t="s">
        <v>45</v>
      </c>
      <c r="P333" s="25" t="s">
        <v>1154</v>
      </c>
      <c r="Q333" s="25" t="s">
        <v>403</v>
      </c>
    </row>
    <row r="334" ht="15.75" customHeight="1">
      <c r="A334" s="4" t="s">
        <v>710</v>
      </c>
      <c r="C334" s="25" t="s">
        <v>115</v>
      </c>
      <c r="D334" s="25" t="s">
        <v>55</v>
      </c>
      <c r="E334" s="25"/>
      <c r="F334" s="25" t="s">
        <v>92</v>
      </c>
      <c r="G334" s="25" t="s">
        <v>138</v>
      </c>
      <c r="H334" s="25" t="s">
        <v>139</v>
      </c>
      <c r="I334" s="26">
        <v>158.66</v>
      </c>
      <c r="J334" s="25" t="s">
        <v>1155</v>
      </c>
      <c r="K334" s="25" t="s">
        <v>92</v>
      </c>
      <c r="L334" s="25" t="s">
        <v>208</v>
      </c>
      <c r="M334" s="25" t="s">
        <v>97</v>
      </c>
      <c r="N334" s="25" t="s">
        <v>98</v>
      </c>
      <c r="O334" s="25" t="s">
        <v>45</v>
      </c>
      <c r="P334" s="25" t="s">
        <v>1156</v>
      </c>
      <c r="Q334" s="25" t="s">
        <v>64</v>
      </c>
    </row>
    <row r="335" ht="15.75" customHeight="1">
      <c r="A335" s="4" t="s">
        <v>710</v>
      </c>
      <c r="C335" s="23" t="s">
        <v>367</v>
      </c>
      <c r="D335" s="23" t="s">
        <v>55</v>
      </c>
      <c r="E335" s="23"/>
      <c r="F335" s="23" t="s">
        <v>1114</v>
      </c>
      <c r="G335" s="23" t="s">
        <v>39</v>
      </c>
      <c r="H335" s="23" t="s">
        <v>40</v>
      </c>
      <c r="I335" s="24">
        <v>160.69</v>
      </c>
      <c r="J335" s="23" t="s">
        <v>1157</v>
      </c>
      <c r="K335" s="23" t="s">
        <v>1114</v>
      </c>
      <c r="L335" s="23" t="s">
        <v>1116</v>
      </c>
      <c r="M335" s="23" t="s">
        <v>371</v>
      </c>
      <c r="N335" s="23" t="s">
        <v>1117</v>
      </c>
      <c r="O335" s="23" t="s">
        <v>45</v>
      </c>
      <c r="P335" s="23" t="s">
        <v>1158</v>
      </c>
      <c r="Q335" s="23" t="s">
        <v>1119</v>
      </c>
    </row>
    <row r="336" ht="15.75" customHeight="1">
      <c r="A336" s="4" t="s">
        <v>710</v>
      </c>
      <c r="C336" s="23" t="s">
        <v>290</v>
      </c>
      <c r="D336" s="23" t="s">
        <v>55</v>
      </c>
      <c r="E336" s="23"/>
      <c r="F336" s="23" t="s">
        <v>766</v>
      </c>
      <c r="G336" s="23" t="s">
        <v>138</v>
      </c>
      <c r="H336" s="23" t="s">
        <v>139</v>
      </c>
      <c r="I336" s="24">
        <v>161.25</v>
      </c>
      <c r="J336" s="23" t="s">
        <v>1159</v>
      </c>
      <c r="K336" s="23" t="s">
        <v>766</v>
      </c>
      <c r="L336" s="23" t="s">
        <v>768</v>
      </c>
      <c r="M336" s="23" t="s">
        <v>142</v>
      </c>
      <c r="N336" s="23" t="s">
        <v>166</v>
      </c>
      <c r="O336" s="23" t="s">
        <v>45</v>
      </c>
      <c r="P336" s="23" t="s">
        <v>1160</v>
      </c>
      <c r="Q336" s="23" t="s">
        <v>74</v>
      </c>
    </row>
    <row r="337" ht="15.75" customHeight="1">
      <c r="A337" s="4" t="s">
        <v>710</v>
      </c>
      <c r="C337" s="23" t="s">
        <v>37</v>
      </c>
      <c r="D337" s="23" t="s">
        <v>55</v>
      </c>
      <c r="E337" s="23"/>
      <c r="F337" s="23" t="s">
        <v>873</v>
      </c>
      <c r="G337" s="23" t="s">
        <v>39</v>
      </c>
      <c r="H337" s="23" t="s">
        <v>40</v>
      </c>
      <c r="I337" s="24">
        <v>161.3</v>
      </c>
      <c r="J337" s="23" t="s">
        <v>1161</v>
      </c>
      <c r="K337" s="23" t="s">
        <v>873</v>
      </c>
      <c r="L337" s="23" t="s">
        <v>279</v>
      </c>
      <c r="M337" s="23" t="s">
        <v>280</v>
      </c>
      <c r="N337" s="23" t="s">
        <v>281</v>
      </c>
      <c r="O337" s="23" t="s">
        <v>45</v>
      </c>
      <c r="P337" s="23" t="s">
        <v>1162</v>
      </c>
      <c r="Q337" s="23" t="s">
        <v>64</v>
      </c>
    </row>
    <row r="338" ht="15.75" customHeight="1">
      <c r="A338" s="22" t="s">
        <v>710</v>
      </c>
      <c r="B338" s="22"/>
      <c r="C338" s="25" t="s">
        <v>37</v>
      </c>
      <c r="D338" s="25" t="s">
        <v>55</v>
      </c>
      <c r="E338" s="25"/>
      <c r="F338" s="25" t="s">
        <v>92</v>
      </c>
      <c r="G338" s="25" t="s">
        <v>93</v>
      </c>
      <c r="H338" s="25" t="s">
        <v>94</v>
      </c>
      <c r="I338" s="26">
        <v>162.35</v>
      </c>
      <c r="J338" s="25" t="s">
        <v>1163</v>
      </c>
      <c r="K338" s="25" t="s">
        <v>92</v>
      </c>
      <c r="L338" s="25" t="s">
        <v>208</v>
      </c>
      <c r="M338" s="25" t="s">
        <v>97</v>
      </c>
      <c r="N338" s="25" t="s">
        <v>98</v>
      </c>
      <c r="O338" s="25" t="s">
        <v>45</v>
      </c>
      <c r="P338" s="25" t="s">
        <v>1164</v>
      </c>
      <c r="Q338" s="25" t="s">
        <v>64</v>
      </c>
    </row>
    <row r="339" ht="15.75" customHeight="1">
      <c r="A339" s="4" t="s">
        <v>710</v>
      </c>
      <c r="C339" s="23" t="s">
        <v>37</v>
      </c>
      <c r="D339" s="23" t="s">
        <v>55</v>
      </c>
      <c r="E339" s="23"/>
      <c r="F339" s="23" t="s">
        <v>197</v>
      </c>
      <c r="G339" s="23" t="s">
        <v>39</v>
      </c>
      <c r="H339" s="23" t="s">
        <v>40</v>
      </c>
      <c r="I339" s="24">
        <v>165.98</v>
      </c>
      <c r="J339" s="23" t="s">
        <v>1165</v>
      </c>
      <c r="K339" s="23" t="s">
        <v>197</v>
      </c>
      <c r="L339" s="23" t="s">
        <v>199</v>
      </c>
      <c r="M339" s="23" t="s">
        <v>200</v>
      </c>
      <c r="N339" s="23" t="s">
        <v>201</v>
      </c>
      <c r="O339" s="23" t="s">
        <v>45</v>
      </c>
      <c r="P339" s="23" t="s">
        <v>1166</v>
      </c>
      <c r="Q339" s="23" t="s">
        <v>64</v>
      </c>
    </row>
    <row r="340" ht="15.75" customHeight="1">
      <c r="A340" s="4" t="s">
        <v>710</v>
      </c>
      <c r="C340" s="25" t="s">
        <v>91</v>
      </c>
      <c r="D340" s="25" t="s">
        <v>55</v>
      </c>
      <c r="E340" s="25"/>
      <c r="F340" s="25" t="s">
        <v>92</v>
      </c>
      <c r="G340" s="25" t="s">
        <v>93</v>
      </c>
      <c r="H340" s="25" t="s">
        <v>94</v>
      </c>
      <c r="I340" s="26">
        <v>168.35</v>
      </c>
      <c r="J340" s="25" t="s">
        <v>1167</v>
      </c>
      <c r="K340" s="25" t="s">
        <v>92</v>
      </c>
      <c r="L340" s="25" t="s">
        <v>208</v>
      </c>
      <c r="M340" s="25" t="s">
        <v>97</v>
      </c>
      <c r="N340" s="25" t="s">
        <v>98</v>
      </c>
      <c r="O340" s="25" t="s">
        <v>45</v>
      </c>
      <c r="P340" s="25" t="s">
        <v>1168</v>
      </c>
      <c r="Q340" s="25" t="s">
        <v>64</v>
      </c>
    </row>
    <row r="341" ht="15.75" customHeight="1">
      <c r="A341" s="4" t="s">
        <v>710</v>
      </c>
      <c r="C341" s="25" t="s">
        <v>108</v>
      </c>
      <c r="D341" s="25" t="s">
        <v>55</v>
      </c>
      <c r="E341" s="25"/>
      <c r="F341" s="25" t="s">
        <v>560</v>
      </c>
      <c r="G341" s="25" t="s">
        <v>39</v>
      </c>
      <c r="H341" s="25" t="s">
        <v>40</v>
      </c>
      <c r="I341" s="26">
        <v>170.0</v>
      </c>
      <c r="J341" s="25" t="s">
        <v>1169</v>
      </c>
      <c r="K341" s="25" t="s">
        <v>560</v>
      </c>
      <c r="L341" s="25" t="s">
        <v>562</v>
      </c>
      <c r="M341" s="25" t="s">
        <v>326</v>
      </c>
      <c r="N341" s="25" t="s">
        <v>563</v>
      </c>
      <c r="O341" s="25" t="s">
        <v>45</v>
      </c>
      <c r="P341" s="25" t="s">
        <v>1170</v>
      </c>
      <c r="Q341" s="25" t="s">
        <v>64</v>
      </c>
    </row>
    <row r="342" ht="15.75" customHeight="1">
      <c r="A342" s="4" t="s">
        <v>710</v>
      </c>
      <c r="C342" s="25" t="s">
        <v>233</v>
      </c>
      <c r="D342" s="25" t="s">
        <v>55</v>
      </c>
      <c r="E342" s="25"/>
      <c r="F342" s="25" t="s">
        <v>92</v>
      </c>
      <c r="G342" s="25" t="s">
        <v>138</v>
      </c>
      <c r="H342" s="25" t="s">
        <v>139</v>
      </c>
      <c r="I342" s="26">
        <v>171.9</v>
      </c>
      <c r="J342" s="25" t="s">
        <v>1171</v>
      </c>
      <c r="K342" s="25" t="s">
        <v>92</v>
      </c>
      <c r="L342" s="25" t="s">
        <v>208</v>
      </c>
      <c r="M342" s="25" t="s">
        <v>97</v>
      </c>
      <c r="N342" s="25" t="s">
        <v>98</v>
      </c>
      <c r="O342" s="25" t="s">
        <v>45</v>
      </c>
      <c r="P342" s="25" t="s">
        <v>1172</v>
      </c>
      <c r="Q342" s="25" t="s">
        <v>64</v>
      </c>
    </row>
    <row r="343" ht="15.75" customHeight="1">
      <c r="A343" s="4" t="s">
        <v>710</v>
      </c>
      <c r="C343" s="23" t="s">
        <v>37</v>
      </c>
      <c r="D343" s="23" t="s">
        <v>55</v>
      </c>
      <c r="E343" s="23"/>
      <c r="F343" s="23" t="s">
        <v>92</v>
      </c>
      <c r="G343" s="23" t="s">
        <v>93</v>
      </c>
      <c r="H343" s="23" t="s">
        <v>94</v>
      </c>
      <c r="I343" s="24">
        <v>172.22</v>
      </c>
      <c r="J343" s="23" t="s">
        <v>1173</v>
      </c>
      <c r="K343" s="23" t="s">
        <v>92</v>
      </c>
      <c r="L343" s="23" t="s">
        <v>208</v>
      </c>
      <c r="M343" s="23" t="s">
        <v>97</v>
      </c>
      <c r="N343" s="23" t="s">
        <v>98</v>
      </c>
      <c r="O343" s="23" t="s">
        <v>45</v>
      </c>
      <c r="P343" s="23" t="s">
        <v>1174</v>
      </c>
      <c r="Q343" s="23" t="s">
        <v>64</v>
      </c>
    </row>
    <row r="344" ht="15.75" customHeight="1">
      <c r="A344" s="4" t="s">
        <v>710</v>
      </c>
      <c r="C344" s="25" t="s">
        <v>262</v>
      </c>
      <c r="D344" s="25" t="s">
        <v>55</v>
      </c>
      <c r="E344" s="25"/>
      <c r="F344" s="25" t="s">
        <v>92</v>
      </c>
      <c r="G344" s="25" t="s">
        <v>138</v>
      </c>
      <c r="H344" s="25" t="s">
        <v>139</v>
      </c>
      <c r="I344" s="26">
        <v>172.42</v>
      </c>
      <c r="J344" s="25" t="s">
        <v>1175</v>
      </c>
      <c r="K344" s="25" t="s">
        <v>92</v>
      </c>
      <c r="L344" s="25" t="s">
        <v>208</v>
      </c>
      <c r="M344" s="25" t="s">
        <v>97</v>
      </c>
      <c r="N344" s="25" t="s">
        <v>98</v>
      </c>
      <c r="O344" s="25" t="s">
        <v>45</v>
      </c>
      <c r="P344" s="25" t="s">
        <v>1176</v>
      </c>
      <c r="Q344" s="25" t="s">
        <v>64</v>
      </c>
    </row>
    <row r="345" ht="15.75" customHeight="1">
      <c r="A345" s="4" t="s">
        <v>710</v>
      </c>
      <c r="C345" s="23" t="s">
        <v>131</v>
      </c>
      <c r="D345" s="23" t="s">
        <v>55</v>
      </c>
      <c r="E345" s="23"/>
      <c r="F345" s="23" t="s">
        <v>1177</v>
      </c>
      <c r="G345" s="23" t="s">
        <v>353</v>
      </c>
      <c r="H345" s="23" t="s">
        <v>354</v>
      </c>
      <c r="I345" s="24">
        <v>172.51</v>
      </c>
      <c r="J345" s="23" t="s">
        <v>1178</v>
      </c>
      <c r="K345" s="23" t="s">
        <v>1177</v>
      </c>
      <c r="L345" s="23" t="s">
        <v>1179</v>
      </c>
      <c r="M345" s="23" t="s">
        <v>305</v>
      </c>
      <c r="N345" s="23" t="s">
        <v>583</v>
      </c>
      <c r="O345" s="23" t="s">
        <v>45</v>
      </c>
      <c r="P345" s="23" t="s">
        <v>1180</v>
      </c>
      <c r="Q345" s="23" t="s">
        <v>182</v>
      </c>
    </row>
    <row r="346" ht="15.75" customHeight="1">
      <c r="A346" s="4" t="s">
        <v>710</v>
      </c>
      <c r="C346" s="23" t="s">
        <v>115</v>
      </c>
      <c r="D346" s="23" t="s">
        <v>55</v>
      </c>
      <c r="E346" s="23"/>
      <c r="F346" s="23" t="s">
        <v>92</v>
      </c>
      <c r="G346" s="23" t="s">
        <v>93</v>
      </c>
      <c r="H346" s="23" t="s">
        <v>94</v>
      </c>
      <c r="I346" s="24">
        <v>172.65</v>
      </c>
      <c r="J346" s="23" t="s">
        <v>1181</v>
      </c>
      <c r="K346" s="23" t="s">
        <v>92</v>
      </c>
      <c r="L346" s="23" t="s">
        <v>208</v>
      </c>
      <c r="M346" s="23" t="s">
        <v>97</v>
      </c>
      <c r="N346" s="23" t="s">
        <v>98</v>
      </c>
      <c r="O346" s="23" t="s">
        <v>45</v>
      </c>
      <c r="P346" s="23" t="s">
        <v>1182</v>
      </c>
      <c r="Q346" s="23" t="s">
        <v>64</v>
      </c>
    </row>
    <row r="347" ht="15.75" customHeight="1">
      <c r="A347" s="4" t="s">
        <v>710</v>
      </c>
      <c r="C347" s="23" t="s">
        <v>183</v>
      </c>
      <c r="D347" s="23" t="s">
        <v>55</v>
      </c>
      <c r="E347" s="23"/>
      <c r="F347" s="23" t="s">
        <v>92</v>
      </c>
      <c r="G347" s="23" t="s">
        <v>138</v>
      </c>
      <c r="H347" s="23" t="s">
        <v>139</v>
      </c>
      <c r="I347" s="24">
        <v>173.17</v>
      </c>
      <c r="J347" s="23" t="s">
        <v>1183</v>
      </c>
      <c r="K347" s="23" t="s">
        <v>92</v>
      </c>
      <c r="L347" s="23" t="s">
        <v>208</v>
      </c>
      <c r="M347" s="23" t="s">
        <v>97</v>
      </c>
      <c r="N347" s="23" t="s">
        <v>98</v>
      </c>
      <c r="O347" s="23" t="s">
        <v>45</v>
      </c>
      <c r="P347" s="23" t="s">
        <v>1184</v>
      </c>
      <c r="Q347" s="23" t="s">
        <v>64</v>
      </c>
    </row>
    <row r="348" ht="15.75" customHeight="1">
      <c r="A348" s="4" t="s">
        <v>710</v>
      </c>
      <c r="C348" s="25" t="s">
        <v>290</v>
      </c>
      <c r="D348" s="25" t="s">
        <v>55</v>
      </c>
      <c r="E348" s="25"/>
      <c r="F348" s="25" t="s">
        <v>92</v>
      </c>
      <c r="G348" s="25" t="s">
        <v>138</v>
      </c>
      <c r="H348" s="25" t="s">
        <v>139</v>
      </c>
      <c r="I348" s="26">
        <v>173.42</v>
      </c>
      <c r="J348" s="25" t="s">
        <v>1185</v>
      </c>
      <c r="K348" s="25" t="s">
        <v>92</v>
      </c>
      <c r="L348" s="25" t="s">
        <v>208</v>
      </c>
      <c r="M348" s="25" t="s">
        <v>97</v>
      </c>
      <c r="N348" s="25" t="s">
        <v>98</v>
      </c>
      <c r="O348" s="25" t="s">
        <v>45</v>
      </c>
      <c r="P348" s="25" t="s">
        <v>1186</v>
      </c>
      <c r="Q348" s="25" t="s">
        <v>64</v>
      </c>
    </row>
    <row r="349" ht="15.75" customHeight="1">
      <c r="A349" s="4" t="s">
        <v>710</v>
      </c>
      <c r="C349" s="25" t="s">
        <v>37</v>
      </c>
      <c r="D349" s="25" t="s">
        <v>55</v>
      </c>
      <c r="E349" s="25"/>
      <c r="F349" s="25" t="s">
        <v>92</v>
      </c>
      <c r="G349" s="25" t="s">
        <v>93</v>
      </c>
      <c r="H349" s="25" t="s">
        <v>94</v>
      </c>
      <c r="I349" s="26">
        <v>173.5</v>
      </c>
      <c r="J349" s="25" t="s">
        <v>1187</v>
      </c>
      <c r="K349" s="25" t="s">
        <v>92</v>
      </c>
      <c r="L349" s="25" t="s">
        <v>208</v>
      </c>
      <c r="M349" s="25" t="s">
        <v>97</v>
      </c>
      <c r="N349" s="25" t="s">
        <v>98</v>
      </c>
      <c r="O349" s="25" t="s">
        <v>45</v>
      </c>
      <c r="P349" s="25" t="s">
        <v>1188</v>
      </c>
      <c r="Q349" s="25" t="s">
        <v>64</v>
      </c>
    </row>
    <row r="350" ht="15.75" customHeight="1">
      <c r="A350" s="4" t="s">
        <v>710</v>
      </c>
      <c r="C350" s="25" t="s">
        <v>123</v>
      </c>
      <c r="D350" s="25" t="s">
        <v>55</v>
      </c>
      <c r="E350" s="25"/>
      <c r="F350" s="25" t="s">
        <v>92</v>
      </c>
      <c r="G350" s="25" t="s">
        <v>93</v>
      </c>
      <c r="H350" s="25" t="s">
        <v>94</v>
      </c>
      <c r="I350" s="26">
        <v>173.83</v>
      </c>
      <c r="J350" s="25" t="s">
        <v>1189</v>
      </c>
      <c r="K350" s="25" t="s">
        <v>92</v>
      </c>
      <c r="L350" s="25" t="s">
        <v>208</v>
      </c>
      <c r="M350" s="25" t="s">
        <v>97</v>
      </c>
      <c r="N350" s="25" t="s">
        <v>98</v>
      </c>
      <c r="O350" s="25" t="s">
        <v>45</v>
      </c>
      <c r="P350" s="25" t="s">
        <v>1190</v>
      </c>
      <c r="Q350" s="25" t="s">
        <v>64</v>
      </c>
    </row>
    <row r="351" ht="15.75" customHeight="1">
      <c r="A351" s="22" t="s">
        <v>710</v>
      </c>
      <c r="B351" s="22"/>
      <c r="C351" s="25" t="s">
        <v>115</v>
      </c>
      <c r="D351" s="25" t="s">
        <v>55</v>
      </c>
      <c r="E351" s="25"/>
      <c r="F351" s="25" t="s">
        <v>92</v>
      </c>
      <c r="G351" s="25" t="s">
        <v>93</v>
      </c>
      <c r="H351" s="25" t="s">
        <v>94</v>
      </c>
      <c r="I351" s="26">
        <v>174.89</v>
      </c>
      <c r="J351" s="25" t="s">
        <v>1191</v>
      </c>
      <c r="K351" s="25" t="s">
        <v>92</v>
      </c>
      <c r="L351" s="25" t="s">
        <v>208</v>
      </c>
      <c r="M351" s="25" t="s">
        <v>97</v>
      </c>
      <c r="N351" s="25" t="s">
        <v>98</v>
      </c>
      <c r="O351" s="25" t="s">
        <v>45</v>
      </c>
      <c r="P351" s="25" t="s">
        <v>1192</v>
      </c>
      <c r="Q351" s="25" t="s">
        <v>64</v>
      </c>
    </row>
    <row r="352" ht="15.75" customHeight="1">
      <c r="A352" s="4" t="s">
        <v>710</v>
      </c>
      <c r="C352" s="25" t="s">
        <v>239</v>
      </c>
      <c r="D352" s="25" t="s">
        <v>55</v>
      </c>
      <c r="E352" s="25"/>
      <c r="F352" s="25" t="s">
        <v>1193</v>
      </c>
      <c r="G352" s="25" t="s">
        <v>353</v>
      </c>
      <c r="H352" s="25" t="s">
        <v>354</v>
      </c>
      <c r="I352" s="26">
        <v>175.0</v>
      </c>
      <c r="J352" s="25" t="s">
        <v>1194</v>
      </c>
      <c r="K352" s="25" t="s">
        <v>1193</v>
      </c>
      <c r="L352" s="25" t="s">
        <v>537</v>
      </c>
      <c r="M352" s="25" t="s">
        <v>538</v>
      </c>
      <c r="N352" s="25" t="s">
        <v>539</v>
      </c>
      <c r="O352" s="25" t="s">
        <v>45</v>
      </c>
      <c r="P352" s="25" t="s">
        <v>1195</v>
      </c>
      <c r="Q352" s="25" t="s">
        <v>64</v>
      </c>
    </row>
    <row r="353" ht="15.75" customHeight="1">
      <c r="A353" s="4" t="s">
        <v>710</v>
      </c>
      <c r="C353" s="23" t="s">
        <v>225</v>
      </c>
      <c r="D353" s="23" t="s">
        <v>55</v>
      </c>
      <c r="E353" s="23"/>
      <c r="F353" s="23" t="s">
        <v>1193</v>
      </c>
      <c r="G353" s="23" t="s">
        <v>353</v>
      </c>
      <c r="H353" s="23" t="s">
        <v>354</v>
      </c>
      <c r="I353" s="24">
        <v>175.0</v>
      </c>
      <c r="J353" s="23" t="s">
        <v>1196</v>
      </c>
      <c r="K353" s="23" t="s">
        <v>1193</v>
      </c>
      <c r="L353" s="23" t="s">
        <v>537</v>
      </c>
      <c r="M353" s="23" t="s">
        <v>538</v>
      </c>
      <c r="N353" s="23" t="s">
        <v>539</v>
      </c>
      <c r="O353" s="23" t="s">
        <v>45</v>
      </c>
      <c r="P353" s="23" t="s">
        <v>1197</v>
      </c>
      <c r="Q353" s="23" t="s">
        <v>64</v>
      </c>
    </row>
    <row r="354" ht="15.75" customHeight="1">
      <c r="A354" s="22" t="s">
        <v>710</v>
      </c>
      <c r="B354" s="22"/>
      <c r="C354" s="23" t="s">
        <v>65</v>
      </c>
      <c r="D354" s="23" t="s">
        <v>55</v>
      </c>
      <c r="E354" s="23"/>
      <c r="F354" s="23" t="s">
        <v>92</v>
      </c>
      <c r="G354" s="23" t="s">
        <v>138</v>
      </c>
      <c r="H354" s="23" t="s">
        <v>139</v>
      </c>
      <c r="I354" s="24">
        <v>175.0</v>
      </c>
      <c r="J354" s="23" t="s">
        <v>1198</v>
      </c>
      <c r="K354" s="23" t="s">
        <v>92</v>
      </c>
      <c r="L354" s="23" t="s">
        <v>208</v>
      </c>
      <c r="M354" s="23" t="s">
        <v>97</v>
      </c>
      <c r="N354" s="23" t="s">
        <v>98</v>
      </c>
      <c r="O354" s="23" t="s">
        <v>45</v>
      </c>
      <c r="P354" s="23" t="s">
        <v>1199</v>
      </c>
      <c r="Q354" s="23" t="s">
        <v>64</v>
      </c>
    </row>
    <row r="355" ht="15.75" customHeight="1">
      <c r="A355" s="22" t="s">
        <v>710</v>
      </c>
      <c r="B355" s="22"/>
      <c r="C355" s="25" t="s">
        <v>65</v>
      </c>
      <c r="D355" s="25" t="s">
        <v>55</v>
      </c>
      <c r="E355" s="25"/>
      <c r="F355" s="25" t="s">
        <v>1200</v>
      </c>
      <c r="G355" s="25" t="s">
        <v>39</v>
      </c>
      <c r="H355" s="25" t="s">
        <v>40</v>
      </c>
      <c r="I355" s="26">
        <v>175.0</v>
      </c>
      <c r="J355" s="25" t="s">
        <v>1201</v>
      </c>
      <c r="K355" s="25" t="s">
        <v>1200</v>
      </c>
      <c r="L355" s="25" t="s">
        <v>208</v>
      </c>
      <c r="M355" s="25" t="s">
        <v>97</v>
      </c>
      <c r="N355" s="25" t="s">
        <v>98</v>
      </c>
      <c r="O355" s="25" t="s">
        <v>45</v>
      </c>
      <c r="P355" s="25" t="s">
        <v>1202</v>
      </c>
      <c r="Q355" s="25" t="s">
        <v>64</v>
      </c>
    </row>
    <row r="356" ht="15.75" customHeight="1">
      <c r="A356" s="4" t="s">
        <v>710</v>
      </c>
      <c r="C356" s="25" t="s">
        <v>37</v>
      </c>
      <c r="D356" s="25" t="s">
        <v>55</v>
      </c>
      <c r="E356" s="25"/>
      <c r="F356" s="25" t="s">
        <v>197</v>
      </c>
      <c r="G356" s="25" t="s">
        <v>39</v>
      </c>
      <c r="H356" s="25" t="s">
        <v>40</v>
      </c>
      <c r="I356" s="26">
        <v>175.0</v>
      </c>
      <c r="J356" s="25" t="s">
        <v>1203</v>
      </c>
      <c r="K356" s="25" t="s">
        <v>197</v>
      </c>
      <c r="L356" s="25" t="s">
        <v>199</v>
      </c>
      <c r="M356" s="25" t="s">
        <v>200</v>
      </c>
      <c r="N356" s="25" t="s">
        <v>201</v>
      </c>
      <c r="O356" s="25" t="s">
        <v>45</v>
      </c>
      <c r="P356" s="25" t="s">
        <v>1204</v>
      </c>
      <c r="Q356" s="25" t="s">
        <v>64</v>
      </c>
    </row>
    <row r="357" ht="15.75" customHeight="1">
      <c r="A357" s="22" t="s">
        <v>710</v>
      </c>
      <c r="B357" s="22"/>
      <c r="C357" s="23" t="s">
        <v>54</v>
      </c>
      <c r="D357" s="23" t="s">
        <v>55</v>
      </c>
      <c r="E357" s="23"/>
      <c r="F357" s="23" t="s">
        <v>92</v>
      </c>
      <c r="G357" s="23" t="s">
        <v>93</v>
      </c>
      <c r="H357" s="23" t="s">
        <v>94</v>
      </c>
      <c r="I357" s="24">
        <v>175.0</v>
      </c>
      <c r="J357" s="23" t="s">
        <v>1205</v>
      </c>
      <c r="K357" s="23" t="s">
        <v>92</v>
      </c>
      <c r="L357" s="23" t="s">
        <v>208</v>
      </c>
      <c r="M357" s="23" t="s">
        <v>97</v>
      </c>
      <c r="N357" s="23" t="s">
        <v>98</v>
      </c>
      <c r="O357" s="23" t="s">
        <v>45</v>
      </c>
      <c r="P357" s="23" t="s">
        <v>1206</v>
      </c>
      <c r="Q357" s="23" t="s">
        <v>64</v>
      </c>
    </row>
    <row r="358" ht="15.75" customHeight="1">
      <c r="A358" s="4" t="s">
        <v>710</v>
      </c>
      <c r="C358" s="23" t="s">
        <v>91</v>
      </c>
      <c r="D358" s="23" t="s">
        <v>55</v>
      </c>
      <c r="E358" s="23"/>
      <c r="F358" s="23" t="s">
        <v>92</v>
      </c>
      <c r="G358" s="23" t="s">
        <v>93</v>
      </c>
      <c r="H358" s="23" t="s">
        <v>94</v>
      </c>
      <c r="I358" s="24">
        <v>175.0</v>
      </c>
      <c r="J358" s="23" t="s">
        <v>1207</v>
      </c>
      <c r="K358" s="23" t="s">
        <v>92</v>
      </c>
      <c r="L358" s="23" t="s">
        <v>208</v>
      </c>
      <c r="M358" s="23" t="s">
        <v>97</v>
      </c>
      <c r="N358" s="23" t="s">
        <v>98</v>
      </c>
      <c r="O358" s="23" t="s">
        <v>45</v>
      </c>
      <c r="P358" s="23" t="s">
        <v>1208</v>
      </c>
      <c r="Q358" s="23" t="s">
        <v>64</v>
      </c>
    </row>
    <row r="359" ht="15.75" customHeight="1">
      <c r="A359" s="4" t="s">
        <v>710</v>
      </c>
      <c r="C359" s="23" t="s">
        <v>290</v>
      </c>
      <c r="D359" s="23" t="s">
        <v>55</v>
      </c>
      <c r="E359" s="23"/>
      <c r="F359" s="23" t="s">
        <v>509</v>
      </c>
      <c r="G359" s="23" t="s">
        <v>149</v>
      </c>
      <c r="H359" s="23" t="s">
        <v>150</v>
      </c>
      <c r="I359" s="24">
        <v>176.62</v>
      </c>
      <c r="J359" s="23" t="s">
        <v>1209</v>
      </c>
      <c r="K359" s="23" t="s">
        <v>509</v>
      </c>
      <c r="L359" s="23" t="s">
        <v>511</v>
      </c>
      <c r="M359" s="23" t="s">
        <v>512</v>
      </c>
      <c r="N359" s="23" t="s">
        <v>513</v>
      </c>
      <c r="O359" s="23" t="s">
        <v>45</v>
      </c>
      <c r="P359" s="23" t="s">
        <v>1210</v>
      </c>
      <c r="Q359" s="23" t="s">
        <v>64</v>
      </c>
    </row>
    <row r="360" ht="15.75" customHeight="1">
      <c r="A360" s="4" t="s">
        <v>710</v>
      </c>
      <c r="C360" s="23" t="s">
        <v>83</v>
      </c>
      <c r="D360" s="23" t="s">
        <v>55</v>
      </c>
      <c r="E360" s="23"/>
      <c r="F360" s="23" t="s">
        <v>157</v>
      </c>
      <c r="G360" s="23" t="s">
        <v>149</v>
      </c>
      <c r="H360" s="23" t="s">
        <v>150</v>
      </c>
      <c r="I360" s="24">
        <v>181.1</v>
      </c>
      <c r="J360" s="23" t="s">
        <v>1211</v>
      </c>
      <c r="K360" s="23" t="s">
        <v>159</v>
      </c>
      <c r="L360" s="23" t="s">
        <v>86</v>
      </c>
      <c r="M360" s="23" t="s">
        <v>87</v>
      </c>
      <c r="N360" s="23" t="s">
        <v>88</v>
      </c>
      <c r="O360" s="23" t="s">
        <v>45</v>
      </c>
      <c r="P360" s="23" t="s">
        <v>1212</v>
      </c>
      <c r="Q360" s="23" t="s">
        <v>90</v>
      </c>
    </row>
    <row r="361" ht="15.75" customHeight="1">
      <c r="A361" s="4" t="s">
        <v>710</v>
      </c>
      <c r="C361" s="25" t="s">
        <v>37</v>
      </c>
      <c r="D361" s="25" t="s">
        <v>55</v>
      </c>
      <c r="E361" s="25"/>
      <c r="F361" s="25" t="s">
        <v>1213</v>
      </c>
      <c r="G361" s="25" t="s">
        <v>93</v>
      </c>
      <c r="H361" s="25" t="s">
        <v>94</v>
      </c>
      <c r="I361" s="26">
        <v>191.38</v>
      </c>
      <c r="J361" s="25" t="s">
        <v>1214</v>
      </c>
      <c r="K361" s="25" t="s">
        <v>1213</v>
      </c>
      <c r="L361" s="25" t="s">
        <v>1215</v>
      </c>
      <c r="M361" s="25" t="s">
        <v>142</v>
      </c>
      <c r="N361" s="25" t="s">
        <v>180</v>
      </c>
      <c r="O361" s="25" t="s">
        <v>45</v>
      </c>
      <c r="P361" s="25" t="s">
        <v>1216</v>
      </c>
      <c r="Q361" s="25" t="s">
        <v>122</v>
      </c>
    </row>
    <row r="362" ht="15.75" customHeight="1">
      <c r="A362" s="4" t="s">
        <v>710</v>
      </c>
      <c r="C362" s="25" t="s">
        <v>54</v>
      </c>
      <c r="D362" s="25" t="s">
        <v>55</v>
      </c>
      <c r="E362" s="25"/>
      <c r="F362" s="25" t="s">
        <v>1217</v>
      </c>
      <c r="G362" s="25" t="s">
        <v>353</v>
      </c>
      <c r="H362" s="25" t="s">
        <v>354</v>
      </c>
      <c r="I362" s="26">
        <v>200.0</v>
      </c>
      <c r="J362" s="25" t="s">
        <v>1218</v>
      </c>
      <c r="K362" s="25" t="s">
        <v>1217</v>
      </c>
      <c r="L362" s="25" t="s">
        <v>1219</v>
      </c>
      <c r="M362" s="25" t="s">
        <v>1220</v>
      </c>
      <c r="N362" s="25" t="s">
        <v>1221</v>
      </c>
      <c r="O362" s="25" t="s">
        <v>45</v>
      </c>
      <c r="P362" s="25" t="s">
        <v>1222</v>
      </c>
      <c r="Q362" s="25" t="s">
        <v>64</v>
      </c>
    </row>
    <row r="363" ht="15.75" customHeight="1">
      <c r="A363" s="4" t="s">
        <v>710</v>
      </c>
      <c r="C363" s="23" t="s">
        <v>54</v>
      </c>
      <c r="D363" s="23" t="s">
        <v>55</v>
      </c>
      <c r="E363" s="23"/>
      <c r="F363" s="23" t="s">
        <v>1223</v>
      </c>
      <c r="G363" s="23" t="s">
        <v>353</v>
      </c>
      <c r="H363" s="23" t="s">
        <v>354</v>
      </c>
      <c r="I363" s="24">
        <v>200.0</v>
      </c>
      <c r="J363" s="23" t="s">
        <v>1224</v>
      </c>
      <c r="K363" s="23" t="s">
        <v>1223</v>
      </c>
      <c r="L363" s="23" t="s">
        <v>1225</v>
      </c>
      <c r="M363" s="23" t="s">
        <v>1226</v>
      </c>
      <c r="N363" s="23" t="s">
        <v>1227</v>
      </c>
      <c r="O363" s="23" t="s">
        <v>45</v>
      </c>
      <c r="P363" s="23" t="s">
        <v>1228</v>
      </c>
      <c r="Q363" s="23" t="s">
        <v>64</v>
      </c>
    </row>
    <row r="364" ht="15.75" customHeight="1">
      <c r="A364" s="4" t="s">
        <v>506</v>
      </c>
      <c r="C364" s="25" t="s">
        <v>65</v>
      </c>
      <c r="D364" s="25" t="s">
        <v>55</v>
      </c>
      <c r="E364" s="25"/>
      <c r="F364" s="25" t="s">
        <v>1223</v>
      </c>
      <c r="G364" s="25" t="s">
        <v>353</v>
      </c>
      <c r="H364" s="25" t="s">
        <v>354</v>
      </c>
      <c r="I364" s="26">
        <v>200.0</v>
      </c>
      <c r="J364" s="25" t="s">
        <v>1224</v>
      </c>
      <c r="K364" s="25" t="s">
        <v>1223</v>
      </c>
      <c r="L364" s="25" t="s">
        <v>1225</v>
      </c>
      <c r="M364" s="25" t="s">
        <v>1226</v>
      </c>
      <c r="N364" s="25" t="s">
        <v>1227</v>
      </c>
      <c r="O364" s="25" t="s">
        <v>45</v>
      </c>
      <c r="P364" s="25" t="s">
        <v>1229</v>
      </c>
      <c r="Q364" s="25" t="s">
        <v>64</v>
      </c>
    </row>
    <row r="365" ht="15.75" customHeight="1">
      <c r="A365" s="4" t="s">
        <v>710</v>
      </c>
      <c r="C365" s="25" t="s">
        <v>108</v>
      </c>
      <c r="D365" s="25" t="s">
        <v>55</v>
      </c>
      <c r="E365" s="25"/>
      <c r="F365" s="25" t="s">
        <v>554</v>
      </c>
      <c r="G365" s="25" t="s">
        <v>353</v>
      </c>
      <c r="H365" s="25" t="s">
        <v>354</v>
      </c>
      <c r="I365" s="26">
        <v>200.0</v>
      </c>
      <c r="J365" s="25" t="s">
        <v>1230</v>
      </c>
      <c r="K365" s="25" t="s">
        <v>554</v>
      </c>
      <c r="L365" s="25" t="s">
        <v>188</v>
      </c>
      <c r="M365" s="25" t="s">
        <v>189</v>
      </c>
      <c r="N365" s="25" t="s">
        <v>190</v>
      </c>
      <c r="O365" s="25" t="s">
        <v>45</v>
      </c>
      <c r="P365" s="25" t="s">
        <v>1231</v>
      </c>
      <c r="Q365" s="25" t="s">
        <v>64</v>
      </c>
    </row>
    <row r="366" ht="15.75" customHeight="1">
      <c r="A366" s="4" t="s">
        <v>710</v>
      </c>
      <c r="C366" s="25" t="s">
        <v>83</v>
      </c>
      <c r="D366" s="25" t="s">
        <v>55</v>
      </c>
      <c r="E366" s="25"/>
      <c r="F366" s="25" t="s">
        <v>704</v>
      </c>
      <c r="G366" s="25" t="s">
        <v>353</v>
      </c>
      <c r="H366" s="25" t="s">
        <v>354</v>
      </c>
      <c r="I366" s="26">
        <v>200.0</v>
      </c>
      <c r="J366" s="25" t="s">
        <v>1232</v>
      </c>
      <c r="K366" s="25" t="s">
        <v>704</v>
      </c>
      <c r="L366" s="25" t="s">
        <v>706</v>
      </c>
      <c r="M366" s="25" t="s">
        <v>707</v>
      </c>
      <c r="N366" s="25" t="s">
        <v>708</v>
      </c>
      <c r="O366" s="25" t="s">
        <v>45</v>
      </c>
      <c r="P366" s="25" t="s">
        <v>1233</v>
      </c>
      <c r="Q366" s="25" t="s">
        <v>64</v>
      </c>
    </row>
    <row r="367" ht="15.75" customHeight="1">
      <c r="A367" s="4" t="s">
        <v>710</v>
      </c>
      <c r="C367" s="25" t="s">
        <v>262</v>
      </c>
      <c r="D367" s="25" t="s">
        <v>55</v>
      </c>
      <c r="E367" s="25"/>
      <c r="F367" s="25" t="s">
        <v>1234</v>
      </c>
      <c r="G367" s="25" t="s">
        <v>57</v>
      </c>
      <c r="H367" s="25" t="s">
        <v>58</v>
      </c>
      <c r="I367" s="26">
        <v>200.0</v>
      </c>
      <c r="J367" s="25" t="s">
        <v>1235</v>
      </c>
      <c r="K367" s="25" t="s">
        <v>1234</v>
      </c>
      <c r="L367" s="25" t="s">
        <v>279</v>
      </c>
      <c r="M367" s="25" t="s">
        <v>280</v>
      </c>
      <c r="N367" s="25" t="s">
        <v>281</v>
      </c>
      <c r="O367" s="25" t="s">
        <v>45</v>
      </c>
      <c r="P367" s="25" t="s">
        <v>1236</v>
      </c>
      <c r="Q367" s="25" t="s">
        <v>64</v>
      </c>
    </row>
    <row r="368" ht="15.75" customHeight="1">
      <c r="A368" s="4" t="s">
        <v>710</v>
      </c>
      <c r="C368" s="25" t="s">
        <v>54</v>
      </c>
      <c r="D368" s="25" t="s">
        <v>55</v>
      </c>
      <c r="E368" s="25"/>
      <c r="F368" s="25" t="s">
        <v>509</v>
      </c>
      <c r="G368" s="25" t="s">
        <v>149</v>
      </c>
      <c r="H368" s="25" t="s">
        <v>150</v>
      </c>
      <c r="I368" s="26">
        <v>212.33</v>
      </c>
      <c r="J368" s="25" t="s">
        <v>1237</v>
      </c>
      <c r="K368" s="25" t="s">
        <v>509</v>
      </c>
      <c r="L368" s="25" t="s">
        <v>511</v>
      </c>
      <c r="M368" s="25" t="s">
        <v>512</v>
      </c>
      <c r="N368" s="25" t="s">
        <v>513</v>
      </c>
      <c r="O368" s="25" t="s">
        <v>45</v>
      </c>
      <c r="P368" s="25" t="s">
        <v>1238</v>
      </c>
      <c r="Q368" s="25" t="s">
        <v>64</v>
      </c>
    </row>
    <row r="369" ht="15.75" customHeight="1">
      <c r="A369" s="4" t="s">
        <v>710</v>
      </c>
      <c r="C369" s="23" t="s">
        <v>131</v>
      </c>
      <c r="D369" s="23" t="s">
        <v>55</v>
      </c>
      <c r="E369" s="23"/>
      <c r="F369" s="23" t="s">
        <v>263</v>
      </c>
      <c r="G369" s="23" t="s">
        <v>138</v>
      </c>
      <c r="H369" s="23" t="s">
        <v>139</v>
      </c>
      <c r="I369" s="24">
        <v>219.11</v>
      </c>
      <c r="J369" s="23" t="s">
        <v>1239</v>
      </c>
      <c r="K369" s="23" t="s">
        <v>263</v>
      </c>
      <c r="L369" s="23" t="s">
        <v>265</v>
      </c>
      <c r="M369" s="23" t="s">
        <v>142</v>
      </c>
      <c r="N369" s="23" t="s">
        <v>166</v>
      </c>
      <c r="O369" s="23" t="s">
        <v>45</v>
      </c>
      <c r="P369" s="23" t="s">
        <v>1240</v>
      </c>
      <c r="Q369" s="23" t="s">
        <v>114</v>
      </c>
    </row>
    <row r="370" ht="15.75" customHeight="1">
      <c r="A370" s="4" t="s">
        <v>710</v>
      </c>
      <c r="C370" s="23" t="s">
        <v>65</v>
      </c>
      <c r="D370" s="23" t="s">
        <v>55</v>
      </c>
      <c r="E370" s="23"/>
      <c r="F370" s="23" t="s">
        <v>66</v>
      </c>
      <c r="G370" s="23" t="s">
        <v>67</v>
      </c>
      <c r="H370" s="23" t="s">
        <v>68</v>
      </c>
      <c r="I370" s="24">
        <v>220.4</v>
      </c>
      <c r="J370" s="23" t="s">
        <v>1241</v>
      </c>
      <c r="K370" s="23" t="s">
        <v>66</v>
      </c>
      <c r="L370" s="23" t="s">
        <v>70</v>
      </c>
      <c r="M370" s="23" t="s">
        <v>71</v>
      </c>
      <c r="N370" s="23" t="s">
        <v>72</v>
      </c>
      <c r="O370" s="23" t="s">
        <v>45</v>
      </c>
      <c r="P370" s="23" t="s">
        <v>1242</v>
      </c>
      <c r="Q370" s="23" t="s">
        <v>74</v>
      </c>
    </row>
    <row r="371" ht="15.75" customHeight="1">
      <c r="A371" s="4" t="s">
        <v>710</v>
      </c>
      <c r="C371" s="23" t="s">
        <v>115</v>
      </c>
      <c r="D371" s="23" t="s">
        <v>55</v>
      </c>
      <c r="E371" s="23"/>
      <c r="F371" s="23" t="s">
        <v>1130</v>
      </c>
      <c r="G371" s="23" t="s">
        <v>353</v>
      </c>
      <c r="H371" s="23" t="s">
        <v>354</v>
      </c>
      <c r="I371" s="24">
        <v>222.28</v>
      </c>
      <c r="J371" s="23" t="s">
        <v>1243</v>
      </c>
      <c r="K371" s="23" t="s">
        <v>1130</v>
      </c>
      <c r="L371" s="23" t="s">
        <v>1132</v>
      </c>
      <c r="M371" s="23" t="s">
        <v>1133</v>
      </c>
      <c r="N371" s="23" t="s">
        <v>1134</v>
      </c>
      <c r="O371" s="23" t="s">
        <v>45</v>
      </c>
      <c r="P371" s="23" t="s">
        <v>1244</v>
      </c>
      <c r="Q371" s="23" t="s">
        <v>182</v>
      </c>
    </row>
    <row r="372" ht="15.75" customHeight="1">
      <c r="A372" s="4" t="s">
        <v>710</v>
      </c>
      <c r="C372" s="25" t="s">
        <v>131</v>
      </c>
      <c r="D372" s="25" t="s">
        <v>55</v>
      </c>
      <c r="E372" s="25"/>
      <c r="F372" s="25" t="s">
        <v>1245</v>
      </c>
      <c r="G372" s="25" t="s">
        <v>67</v>
      </c>
      <c r="H372" s="25" t="s">
        <v>68</v>
      </c>
      <c r="I372" s="26">
        <v>226.79</v>
      </c>
      <c r="J372" s="25" t="s">
        <v>1246</v>
      </c>
      <c r="K372" s="25" t="s">
        <v>1245</v>
      </c>
      <c r="L372" s="25" t="s">
        <v>1247</v>
      </c>
      <c r="M372" s="25" t="s">
        <v>87</v>
      </c>
      <c r="N372" s="25" t="s">
        <v>1248</v>
      </c>
      <c r="O372" s="25" t="s">
        <v>45</v>
      </c>
      <c r="P372" s="25" t="s">
        <v>1249</v>
      </c>
      <c r="Q372" s="25" t="s">
        <v>107</v>
      </c>
    </row>
    <row r="373" ht="15.75" customHeight="1">
      <c r="A373" s="4" t="s">
        <v>710</v>
      </c>
      <c r="C373" s="25" t="s">
        <v>301</v>
      </c>
      <c r="D373" s="25" t="s">
        <v>55</v>
      </c>
      <c r="E373" s="25"/>
      <c r="F373" s="25" t="s">
        <v>302</v>
      </c>
      <c r="G373" s="25" t="s">
        <v>149</v>
      </c>
      <c r="H373" s="25" t="s">
        <v>150</v>
      </c>
      <c r="I373" s="26">
        <v>237.03</v>
      </c>
      <c r="J373" s="25" t="s">
        <v>1250</v>
      </c>
      <c r="K373" s="25" t="s">
        <v>302</v>
      </c>
      <c r="L373" s="25" t="s">
        <v>304</v>
      </c>
      <c r="M373" s="25" t="s">
        <v>305</v>
      </c>
      <c r="N373" s="25" t="s">
        <v>306</v>
      </c>
      <c r="O373" s="25" t="s">
        <v>45</v>
      </c>
      <c r="P373" s="25" t="s">
        <v>1251</v>
      </c>
      <c r="Q373" s="25" t="s">
        <v>308</v>
      </c>
    </row>
    <row r="374" ht="15.75" customHeight="1">
      <c r="A374" s="4" t="s">
        <v>710</v>
      </c>
      <c r="C374" s="23" t="s">
        <v>290</v>
      </c>
      <c r="D374" s="23" t="s">
        <v>55</v>
      </c>
      <c r="E374" s="23"/>
      <c r="F374" s="23" t="s">
        <v>445</v>
      </c>
      <c r="G374" s="23" t="s">
        <v>127</v>
      </c>
      <c r="H374" s="23" t="s">
        <v>128</v>
      </c>
      <c r="I374" s="24">
        <v>237.85</v>
      </c>
      <c r="J374" s="23" t="s">
        <v>1252</v>
      </c>
      <c r="K374" s="23" t="s">
        <v>445</v>
      </c>
      <c r="L374" s="23" t="s">
        <v>447</v>
      </c>
      <c r="M374" s="23" t="s">
        <v>142</v>
      </c>
      <c r="N374" s="23" t="s">
        <v>143</v>
      </c>
      <c r="O374" s="23" t="s">
        <v>45</v>
      </c>
      <c r="P374" s="23" t="s">
        <v>1253</v>
      </c>
      <c r="Q374" s="23" t="s">
        <v>182</v>
      </c>
    </row>
    <row r="375" ht="15.75" customHeight="1">
      <c r="A375" s="4" t="s">
        <v>710</v>
      </c>
      <c r="C375" s="25" t="s">
        <v>108</v>
      </c>
      <c r="D375" s="25" t="s">
        <v>55</v>
      </c>
      <c r="E375" s="25"/>
      <c r="F375" s="25" t="s">
        <v>66</v>
      </c>
      <c r="G375" s="25" t="s">
        <v>67</v>
      </c>
      <c r="H375" s="25" t="s">
        <v>68</v>
      </c>
      <c r="I375" s="26">
        <v>241.34</v>
      </c>
      <c r="J375" s="25" t="s">
        <v>1254</v>
      </c>
      <c r="K375" s="25" t="s">
        <v>66</v>
      </c>
      <c r="L375" s="25" t="s">
        <v>70</v>
      </c>
      <c r="M375" s="25" t="s">
        <v>71</v>
      </c>
      <c r="N375" s="25" t="s">
        <v>72</v>
      </c>
      <c r="O375" s="25" t="s">
        <v>45</v>
      </c>
      <c r="P375" s="25" t="s">
        <v>1255</v>
      </c>
      <c r="Q375" s="25" t="s">
        <v>74</v>
      </c>
    </row>
    <row r="376" ht="15.75" customHeight="1">
      <c r="A376" s="4" t="s">
        <v>710</v>
      </c>
      <c r="C376" s="23" t="s">
        <v>108</v>
      </c>
      <c r="D376" s="23" t="s">
        <v>55</v>
      </c>
      <c r="E376" s="23"/>
      <c r="F376" s="23" t="s">
        <v>1114</v>
      </c>
      <c r="G376" s="23" t="s">
        <v>39</v>
      </c>
      <c r="H376" s="23" t="s">
        <v>40</v>
      </c>
      <c r="I376" s="24">
        <v>243.24</v>
      </c>
      <c r="J376" s="23" t="s">
        <v>1256</v>
      </c>
      <c r="K376" s="23" t="s">
        <v>1114</v>
      </c>
      <c r="L376" s="23" t="s">
        <v>1116</v>
      </c>
      <c r="M376" s="23" t="s">
        <v>371</v>
      </c>
      <c r="N376" s="23" t="s">
        <v>1117</v>
      </c>
      <c r="O376" s="23" t="s">
        <v>45</v>
      </c>
      <c r="P376" s="23" t="s">
        <v>1257</v>
      </c>
      <c r="Q376" s="23" t="s">
        <v>1119</v>
      </c>
    </row>
    <row r="377" ht="15.75" customHeight="1">
      <c r="A377" s="22" t="s">
        <v>710</v>
      </c>
      <c r="B377" s="22"/>
      <c r="C377" s="25" t="s">
        <v>115</v>
      </c>
      <c r="D377" s="25" t="s">
        <v>55</v>
      </c>
      <c r="E377" s="25"/>
      <c r="F377" s="25" t="s">
        <v>554</v>
      </c>
      <c r="G377" s="25" t="s">
        <v>353</v>
      </c>
      <c r="H377" s="25" t="s">
        <v>354</v>
      </c>
      <c r="I377" s="26">
        <v>250.0</v>
      </c>
      <c r="J377" s="25" t="s">
        <v>1258</v>
      </c>
      <c r="K377" s="25" t="s">
        <v>554</v>
      </c>
      <c r="L377" s="25" t="s">
        <v>188</v>
      </c>
      <c r="M377" s="25" t="s">
        <v>189</v>
      </c>
      <c r="N377" s="25" t="s">
        <v>190</v>
      </c>
      <c r="O377" s="25" t="s">
        <v>45</v>
      </c>
      <c r="P377" s="25" t="s">
        <v>1259</v>
      </c>
      <c r="Q377" s="25" t="s">
        <v>64</v>
      </c>
    </row>
    <row r="378" ht="15.75" customHeight="1">
      <c r="A378" s="4" t="s">
        <v>710</v>
      </c>
      <c r="C378" s="25" t="s">
        <v>115</v>
      </c>
      <c r="D378" s="25" t="s">
        <v>55</v>
      </c>
      <c r="E378" s="25"/>
      <c r="F378" s="25" t="s">
        <v>1260</v>
      </c>
      <c r="G378" s="25" t="s">
        <v>39</v>
      </c>
      <c r="H378" s="25" t="s">
        <v>40</v>
      </c>
      <c r="I378" s="26">
        <v>255.84</v>
      </c>
      <c r="J378" s="25" t="s">
        <v>1261</v>
      </c>
      <c r="K378" s="25" t="s">
        <v>1260</v>
      </c>
      <c r="L378" s="25" t="s">
        <v>1262</v>
      </c>
      <c r="M378" s="25" t="s">
        <v>687</v>
      </c>
      <c r="N378" s="25" t="s">
        <v>688</v>
      </c>
      <c r="O378" s="25" t="s">
        <v>45</v>
      </c>
      <c r="P378" s="25" t="s">
        <v>1263</v>
      </c>
      <c r="Q378" s="25" t="s">
        <v>300</v>
      </c>
    </row>
    <row r="379" ht="15.75" customHeight="1">
      <c r="A379" s="4" t="s">
        <v>506</v>
      </c>
      <c r="C379" s="25" t="s">
        <v>83</v>
      </c>
      <c r="D379" s="25" t="s">
        <v>55</v>
      </c>
      <c r="E379" s="25"/>
      <c r="F379" s="25" t="s">
        <v>1264</v>
      </c>
      <c r="G379" s="25" t="s">
        <v>353</v>
      </c>
      <c r="H379" s="25" t="s">
        <v>354</v>
      </c>
      <c r="I379" s="26">
        <v>257.54</v>
      </c>
      <c r="J379" s="25" t="s">
        <v>1265</v>
      </c>
      <c r="K379" s="25" t="s">
        <v>1264</v>
      </c>
      <c r="L379" s="25" t="s">
        <v>1266</v>
      </c>
      <c r="M379" s="25" t="s">
        <v>1267</v>
      </c>
      <c r="N379" s="25" t="s">
        <v>1268</v>
      </c>
      <c r="O379" s="25" t="s">
        <v>45</v>
      </c>
      <c r="P379" s="25" t="s">
        <v>1269</v>
      </c>
      <c r="Q379" s="25" t="s">
        <v>423</v>
      </c>
    </row>
    <row r="380" ht="15.75" customHeight="1">
      <c r="A380" s="4" t="s">
        <v>710</v>
      </c>
      <c r="C380" s="25" t="s">
        <v>54</v>
      </c>
      <c r="D380" s="25" t="s">
        <v>55</v>
      </c>
      <c r="E380" s="25"/>
      <c r="F380" s="25" t="s">
        <v>1270</v>
      </c>
      <c r="G380" s="25" t="s">
        <v>67</v>
      </c>
      <c r="H380" s="25" t="s">
        <v>68</v>
      </c>
      <c r="I380" s="26">
        <v>258.68</v>
      </c>
      <c r="J380" s="25" t="s">
        <v>1271</v>
      </c>
      <c r="K380" s="25" t="s">
        <v>1270</v>
      </c>
      <c r="L380" s="25" t="s">
        <v>1272</v>
      </c>
      <c r="M380" s="25" t="s">
        <v>1273</v>
      </c>
      <c r="N380" s="25" t="s">
        <v>1274</v>
      </c>
      <c r="O380" s="25" t="s">
        <v>45</v>
      </c>
      <c r="P380" s="25" t="s">
        <v>1275</v>
      </c>
      <c r="Q380" s="25" t="s">
        <v>107</v>
      </c>
    </row>
    <row r="381" ht="15.75" customHeight="1">
      <c r="A381" s="4" t="s">
        <v>710</v>
      </c>
      <c r="C381" s="25" t="s">
        <v>367</v>
      </c>
      <c r="D381" s="25" t="s">
        <v>55</v>
      </c>
      <c r="E381" s="25"/>
      <c r="F381" s="25" t="s">
        <v>1276</v>
      </c>
      <c r="G381" s="25" t="s">
        <v>39</v>
      </c>
      <c r="H381" s="25" t="s">
        <v>40</v>
      </c>
      <c r="I381" s="26">
        <v>262.17</v>
      </c>
      <c r="J381" s="25" t="s">
        <v>1277</v>
      </c>
      <c r="K381" s="25" t="s">
        <v>1276</v>
      </c>
      <c r="L381" s="25" t="s">
        <v>1278</v>
      </c>
      <c r="M381" s="25" t="s">
        <v>1279</v>
      </c>
      <c r="N381" s="25" t="s">
        <v>1280</v>
      </c>
      <c r="O381" s="25" t="s">
        <v>45</v>
      </c>
      <c r="P381" s="25" t="s">
        <v>1281</v>
      </c>
      <c r="Q381" s="25" t="s">
        <v>182</v>
      </c>
    </row>
    <row r="382" ht="15.75" customHeight="1">
      <c r="A382" s="4" t="s">
        <v>710</v>
      </c>
      <c r="C382" s="23" t="s">
        <v>233</v>
      </c>
      <c r="D382" s="23" t="s">
        <v>55</v>
      </c>
      <c r="E382" s="23"/>
      <c r="F382" s="23" t="s">
        <v>1282</v>
      </c>
      <c r="G382" s="23" t="s">
        <v>149</v>
      </c>
      <c r="H382" s="23" t="s">
        <v>150</v>
      </c>
      <c r="I382" s="24">
        <v>271.33</v>
      </c>
      <c r="J382" s="23" t="s">
        <v>1283</v>
      </c>
      <c r="K382" s="23" t="s">
        <v>1282</v>
      </c>
      <c r="L382" s="23" t="s">
        <v>1284</v>
      </c>
      <c r="M382" s="23" t="s">
        <v>1285</v>
      </c>
      <c r="N382" s="23" t="s">
        <v>1286</v>
      </c>
      <c r="O382" s="23" t="s">
        <v>45</v>
      </c>
      <c r="P382" s="23" t="s">
        <v>1287</v>
      </c>
      <c r="Q382" s="23" t="s">
        <v>174</v>
      </c>
    </row>
    <row r="383" ht="15.75" customHeight="1">
      <c r="A383" s="4" t="s">
        <v>710</v>
      </c>
      <c r="C383" s="23" t="s">
        <v>65</v>
      </c>
      <c r="D383" s="23" t="s">
        <v>55</v>
      </c>
      <c r="E383" s="23"/>
      <c r="F383" s="23" t="s">
        <v>785</v>
      </c>
      <c r="G383" s="23" t="s">
        <v>39</v>
      </c>
      <c r="H383" s="23" t="s">
        <v>40</v>
      </c>
      <c r="I383" s="24">
        <v>272.63</v>
      </c>
      <c r="J383" s="23" t="s">
        <v>1288</v>
      </c>
      <c r="K383" s="23" t="s">
        <v>785</v>
      </c>
      <c r="L383" s="23" t="s">
        <v>787</v>
      </c>
      <c r="M383" s="23" t="s">
        <v>326</v>
      </c>
      <c r="N383" s="23" t="s">
        <v>563</v>
      </c>
      <c r="O383" s="23" t="s">
        <v>45</v>
      </c>
      <c r="P383" s="23" t="s">
        <v>1289</v>
      </c>
      <c r="Q383" s="23" t="s">
        <v>174</v>
      </c>
    </row>
    <row r="384" ht="15.75" customHeight="1">
      <c r="A384" s="4" t="s">
        <v>710</v>
      </c>
      <c r="C384" s="23" t="s">
        <v>290</v>
      </c>
      <c r="D384" s="23" t="s">
        <v>55</v>
      </c>
      <c r="E384" s="23"/>
      <c r="F384" s="23" t="s">
        <v>1290</v>
      </c>
      <c r="G384" s="23" t="s">
        <v>39</v>
      </c>
      <c r="H384" s="23" t="s">
        <v>40</v>
      </c>
      <c r="I384" s="24">
        <v>275.0</v>
      </c>
      <c r="J384" s="23" t="s">
        <v>1291</v>
      </c>
      <c r="K384" s="23" t="s">
        <v>1290</v>
      </c>
      <c r="L384" s="23" t="s">
        <v>756</v>
      </c>
      <c r="M384" s="23" t="s">
        <v>43</v>
      </c>
      <c r="N384" s="23" t="s">
        <v>1292</v>
      </c>
      <c r="O384" s="23" t="s">
        <v>1293</v>
      </c>
      <c r="P384" s="23" t="s">
        <v>1294</v>
      </c>
      <c r="Q384" s="23" t="s">
        <v>1295</v>
      </c>
    </row>
    <row r="385" ht="15.75" customHeight="1">
      <c r="A385" s="4" t="s">
        <v>710</v>
      </c>
      <c r="C385" s="25" t="s">
        <v>65</v>
      </c>
      <c r="D385" s="25" t="s">
        <v>55</v>
      </c>
      <c r="E385" s="25"/>
      <c r="F385" s="25" t="s">
        <v>1296</v>
      </c>
      <c r="G385" s="25" t="s">
        <v>149</v>
      </c>
      <c r="H385" s="25" t="s">
        <v>150</v>
      </c>
      <c r="I385" s="26">
        <v>282.56</v>
      </c>
      <c r="J385" s="25" t="s">
        <v>1297</v>
      </c>
      <c r="K385" s="25" t="s">
        <v>1296</v>
      </c>
      <c r="L385" s="25" t="s">
        <v>618</v>
      </c>
      <c r="M385" s="25" t="s">
        <v>619</v>
      </c>
      <c r="N385" s="25" t="s">
        <v>1298</v>
      </c>
      <c r="O385" s="25" t="s">
        <v>45</v>
      </c>
      <c r="P385" s="25" t="s">
        <v>1299</v>
      </c>
      <c r="Q385" s="25" t="s">
        <v>64</v>
      </c>
    </row>
    <row r="386" ht="15.75" customHeight="1">
      <c r="A386" s="22" t="s">
        <v>710</v>
      </c>
      <c r="B386" s="22"/>
      <c r="C386" s="25" t="s">
        <v>290</v>
      </c>
      <c r="D386" s="25" t="s">
        <v>55</v>
      </c>
      <c r="E386" s="25"/>
      <c r="F386" s="25" t="s">
        <v>785</v>
      </c>
      <c r="G386" s="25" t="s">
        <v>39</v>
      </c>
      <c r="H386" s="25" t="s">
        <v>40</v>
      </c>
      <c r="I386" s="26">
        <v>293.31</v>
      </c>
      <c r="J386" s="25" t="s">
        <v>1300</v>
      </c>
      <c r="K386" s="25" t="s">
        <v>785</v>
      </c>
      <c r="L386" s="25" t="s">
        <v>787</v>
      </c>
      <c r="M386" s="25" t="s">
        <v>326</v>
      </c>
      <c r="N386" s="25" t="s">
        <v>563</v>
      </c>
      <c r="O386" s="25" t="s">
        <v>45</v>
      </c>
      <c r="P386" s="25" t="s">
        <v>1301</v>
      </c>
      <c r="Q386" s="25" t="s">
        <v>174</v>
      </c>
    </row>
    <row r="387" ht="15.75" customHeight="1">
      <c r="A387" s="4" t="s">
        <v>710</v>
      </c>
      <c r="C387" s="25" t="s">
        <v>196</v>
      </c>
      <c r="D387" s="25" t="s">
        <v>55</v>
      </c>
      <c r="E387" s="25"/>
      <c r="F387" s="25" t="s">
        <v>1302</v>
      </c>
      <c r="G387" s="25" t="s">
        <v>353</v>
      </c>
      <c r="H387" s="25" t="s">
        <v>354</v>
      </c>
      <c r="I387" s="26">
        <v>299.81</v>
      </c>
      <c r="J387" s="25" t="s">
        <v>1303</v>
      </c>
      <c r="K387" s="25" t="s">
        <v>1302</v>
      </c>
      <c r="L387" s="25" t="s">
        <v>1304</v>
      </c>
      <c r="M387" s="25" t="s">
        <v>1305</v>
      </c>
      <c r="N387" s="25" t="s">
        <v>1306</v>
      </c>
      <c r="O387" s="25" t="s">
        <v>45</v>
      </c>
      <c r="P387" s="25" t="s">
        <v>1307</v>
      </c>
      <c r="Q387" s="25" t="s">
        <v>1144</v>
      </c>
    </row>
    <row r="388" ht="15.75" customHeight="1">
      <c r="A388" s="4" t="s">
        <v>710</v>
      </c>
      <c r="C388" s="23" t="s">
        <v>115</v>
      </c>
      <c r="D388" s="23" t="s">
        <v>55</v>
      </c>
      <c r="E388" s="23"/>
      <c r="F388" s="23" t="s">
        <v>841</v>
      </c>
      <c r="G388" s="23" t="s">
        <v>39</v>
      </c>
      <c r="H388" s="23" t="s">
        <v>40</v>
      </c>
      <c r="I388" s="24">
        <v>314.01</v>
      </c>
      <c r="J388" s="23" t="s">
        <v>1308</v>
      </c>
      <c r="K388" s="23" t="s">
        <v>841</v>
      </c>
      <c r="L388" s="23" t="s">
        <v>199</v>
      </c>
      <c r="M388" s="23" t="s">
        <v>200</v>
      </c>
      <c r="N388" s="23" t="s">
        <v>201</v>
      </c>
      <c r="O388" s="23" t="s">
        <v>45</v>
      </c>
      <c r="P388" s="23" t="s">
        <v>1309</v>
      </c>
      <c r="Q388" s="23" t="s">
        <v>64</v>
      </c>
    </row>
    <row r="389" ht="15.75" customHeight="1">
      <c r="A389" s="4" t="s">
        <v>710</v>
      </c>
      <c r="C389" s="23" t="s">
        <v>108</v>
      </c>
      <c r="D389" s="23" t="s">
        <v>55</v>
      </c>
      <c r="E389" s="23"/>
      <c r="F389" s="23" t="s">
        <v>1310</v>
      </c>
      <c r="G389" s="23" t="s">
        <v>39</v>
      </c>
      <c r="H389" s="23" t="s">
        <v>40</v>
      </c>
      <c r="I389" s="24">
        <v>322.29</v>
      </c>
      <c r="J389" s="23" t="s">
        <v>1311</v>
      </c>
      <c r="K389" s="23" t="s">
        <v>1310</v>
      </c>
      <c r="L389" s="23" t="s">
        <v>1312</v>
      </c>
      <c r="M389" s="23" t="s">
        <v>1313</v>
      </c>
      <c r="N389" s="23" t="s">
        <v>1314</v>
      </c>
      <c r="O389" s="23" t="s">
        <v>45</v>
      </c>
      <c r="P389" s="23" t="s">
        <v>1315</v>
      </c>
      <c r="Q389" s="23" t="s">
        <v>174</v>
      </c>
    </row>
    <row r="390" ht="15.75" customHeight="1">
      <c r="A390" s="4" t="s">
        <v>710</v>
      </c>
      <c r="C390" s="25" t="s">
        <v>196</v>
      </c>
      <c r="D390" s="25" t="s">
        <v>55</v>
      </c>
      <c r="E390" s="25"/>
      <c r="F390" s="25" t="s">
        <v>1276</v>
      </c>
      <c r="G390" s="25" t="s">
        <v>39</v>
      </c>
      <c r="H390" s="25" t="s">
        <v>40</v>
      </c>
      <c r="I390" s="26">
        <v>331.07</v>
      </c>
      <c r="J390" s="25" t="s">
        <v>1316</v>
      </c>
      <c r="K390" s="25" t="s">
        <v>1276</v>
      </c>
      <c r="L390" s="25" t="s">
        <v>1278</v>
      </c>
      <c r="M390" s="25" t="s">
        <v>1279</v>
      </c>
      <c r="N390" s="25" t="s">
        <v>1280</v>
      </c>
      <c r="O390" s="25" t="s">
        <v>45</v>
      </c>
      <c r="P390" s="25" t="s">
        <v>1317</v>
      </c>
      <c r="Q390" s="25" t="s">
        <v>182</v>
      </c>
    </row>
    <row r="391" ht="15.75" customHeight="1">
      <c r="A391" s="4" t="s">
        <v>710</v>
      </c>
      <c r="C391" s="23" t="s">
        <v>196</v>
      </c>
      <c r="D391" s="23" t="s">
        <v>55</v>
      </c>
      <c r="E391" s="23"/>
      <c r="F391" s="23" t="s">
        <v>1318</v>
      </c>
      <c r="G391" s="23" t="s">
        <v>39</v>
      </c>
      <c r="H391" s="23" t="s">
        <v>40</v>
      </c>
      <c r="I391" s="24">
        <v>339.9</v>
      </c>
      <c r="J391" s="23" t="s">
        <v>1319</v>
      </c>
      <c r="K391" s="23" t="s">
        <v>1318</v>
      </c>
      <c r="L391" s="23" t="s">
        <v>1320</v>
      </c>
      <c r="M391" s="23" t="s">
        <v>1321</v>
      </c>
      <c r="N391" s="23" t="s">
        <v>1322</v>
      </c>
      <c r="O391" s="23" t="s">
        <v>45</v>
      </c>
      <c r="P391" s="23" t="s">
        <v>1323</v>
      </c>
      <c r="Q391" s="23" t="s">
        <v>74</v>
      </c>
    </row>
    <row r="392" ht="15.75" customHeight="1">
      <c r="A392" s="4" t="s">
        <v>710</v>
      </c>
      <c r="C392" s="23" t="s">
        <v>37</v>
      </c>
      <c r="D392" s="23" t="s">
        <v>55</v>
      </c>
      <c r="E392" s="23"/>
      <c r="F392" s="23" t="s">
        <v>1324</v>
      </c>
      <c r="G392" s="23" t="s">
        <v>39</v>
      </c>
      <c r="H392" s="23" t="s">
        <v>40</v>
      </c>
      <c r="I392" s="24">
        <v>341.1</v>
      </c>
      <c r="J392" s="23" t="s">
        <v>1325</v>
      </c>
      <c r="K392" s="23" t="s">
        <v>1324</v>
      </c>
      <c r="L392" s="23" t="s">
        <v>1326</v>
      </c>
      <c r="M392" s="23" t="s">
        <v>955</v>
      </c>
      <c r="N392" s="23" t="s">
        <v>956</v>
      </c>
      <c r="O392" s="23" t="s">
        <v>45</v>
      </c>
      <c r="P392" s="23" t="s">
        <v>1327</v>
      </c>
      <c r="Q392" s="23" t="s">
        <v>182</v>
      </c>
    </row>
    <row r="393" ht="15.75" customHeight="1">
      <c r="A393" s="4" t="s">
        <v>710</v>
      </c>
      <c r="C393" s="23" t="s">
        <v>54</v>
      </c>
      <c r="D393" s="23" t="s">
        <v>55</v>
      </c>
      <c r="E393" s="23"/>
      <c r="F393" s="23" t="s">
        <v>509</v>
      </c>
      <c r="G393" s="23" t="s">
        <v>149</v>
      </c>
      <c r="H393" s="23" t="s">
        <v>150</v>
      </c>
      <c r="I393" s="24">
        <v>350.0</v>
      </c>
      <c r="J393" s="23" t="s">
        <v>1328</v>
      </c>
      <c r="K393" s="23" t="s">
        <v>509</v>
      </c>
      <c r="L393" s="23" t="s">
        <v>511</v>
      </c>
      <c r="M393" s="23" t="s">
        <v>512</v>
      </c>
      <c r="N393" s="23" t="s">
        <v>513</v>
      </c>
      <c r="O393" s="23" t="s">
        <v>45</v>
      </c>
      <c r="P393" s="23" t="s">
        <v>1329</v>
      </c>
      <c r="Q393" s="23" t="s">
        <v>64</v>
      </c>
    </row>
    <row r="394" ht="15.75" customHeight="1">
      <c r="A394" s="4" t="s">
        <v>710</v>
      </c>
      <c r="C394" s="23" t="s">
        <v>290</v>
      </c>
      <c r="D394" s="23" t="s">
        <v>55</v>
      </c>
      <c r="E394" s="23"/>
      <c r="F394" s="23" t="s">
        <v>820</v>
      </c>
      <c r="G394" s="23" t="s">
        <v>39</v>
      </c>
      <c r="H394" s="23" t="s">
        <v>40</v>
      </c>
      <c r="I394" s="24">
        <v>364.05</v>
      </c>
      <c r="J394" s="23" t="s">
        <v>1330</v>
      </c>
      <c r="K394" s="23" t="s">
        <v>820</v>
      </c>
      <c r="L394" s="23" t="s">
        <v>822</v>
      </c>
      <c r="M394" s="23" t="s">
        <v>43</v>
      </c>
      <c r="N394" s="23" t="s">
        <v>823</v>
      </c>
      <c r="O394" s="23" t="s">
        <v>45</v>
      </c>
      <c r="P394" s="23" t="s">
        <v>1331</v>
      </c>
      <c r="Q394" s="23" t="s">
        <v>182</v>
      </c>
    </row>
    <row r="395" ht="15.75" customHeight="1">
      <c r="A395" s="4" t="s">
        <v>710</v>
      </c>
      <c r="C395" s="25" t="s">
        <v>115</v>
      </c>
      <c r="D395" s="25" t="s">
        <v>55</v>
      </c>
      <c r="E395" s="25"/>
      <c r="F395" s="25" t="s">
        <v>451</v>
      </c>
      <c r="G395" s="25" t="s">
        <v>149</v>
      </c>
      <c r="H395" s="25" t="s">
        <v>150</v>
      </c>
      <c r="I395" s="26">
        <v>387.38</v>
      </c>
      <c r="J395" s="25" t="s">
        <v>1332</v>
      </c>
      <c r="K395" s="25" t="s">
        <v>451</v>
      </c>
      <c r="L395" s="25" t="s">
        <v>453</v>
      </c>
      <c r="M395" s="25" t="s">
        <v>454</v>
      </c>
      <c r="N395" s="25" t="s">
        <v>455</v>
      </c>
      <c r="O395" s="25" t="s">
        <v>45</v>
      </c>
      <c r="P395" s="25" t="s">
        <v>1333</v>
      </c>
      <c r="Q395" s="25" t="s">
        <v>64</v>
      </c>
    </row>
    <row r="396" ht="15.75" customHeight="1">
      <c r="A396" s="4" t="s">
        <v>710</v>
      </c>
      <c r="C396" s="25" t="s">
        <v>115</v>
      </c>
      <c r="D396" s="25" t="s">
        <v>55</v>
      </c>
      <c r="E396" s="25"/>
      <c r="F396" s="25" t="s">
        <v>820</v>
      </c>
      <c r="G396" s="25" t="s">
        <v>39</v>
      </c>
      <c r="H396" s="25" t="s">
        <v>40</v>
      </c>
      <c r="I396" s="26">
        <v>394.34</v>
      </c>
      <c r="J396" s="25" t="s">
        <v>1334</v>
      </c>
      <c r="K396" s="25" t="s">
        <v>820</v>
      </c>
      <c r="L396" s="25" t="s">
        <v>822</v>
      </c>
      <c r="M396" s="25" t="s">
        <v>43</v>
      </c>
      <c r="N396" s="25" t="s">
        <v>823</v>
      </c>
      <c r="O396" s="25" t="s">
        <v>45</v>
      </c>
      <c r="P396" s="25" t="s">
        <v>1335</v>
      </c>
      <c r="Q396" s="25" t="s">
        <v>182</v>
      </c>
    </row>
    <row r="397" ht="15.75" customHeight="1">
      <c r="A397" s="4" t="s">
        <v>710</v>
      </c>
      <c r="C397" s="23" t="s">
        <v>108</v>
      </c>
      <c r="D397" s="23" t="s">
        <v>55</v>
      </c>
      <c r="E397" s="23"/>
      <c r="F397" s="23" t="s">
        <v>1276</v>
      </c>
      <c r="G397" s="23" t="s">
        <v>39</v>
      </c>
      <c r="H397" s="23" t="s">
        <v>40</v>
      </c>
      <c r="I397" s="24">
        <v>396.19</v>
      </c>
      <c r="J397" s="23" t="s">
        <v>1336</v>
      </c>
      <c r="K397" s="23" t="s">
        <v>1276</v>
      </c>
      <c r="L397" s="23" t="s">
        <v>1278</v>
      </c>
      <c r="M397" s="23" t="s">
        <v>1279</v>
      </c>
      <c r="N397" s="23" t="s">
        <v>1280</v>
      </c>
      <c r="O397" s="23" t="s">
        <v>45</v>
      </c>
      <c r="P397" s="23" t="s">
        <v>1337</v>
      </c>
      <c r="Q397" s="23" t="s">
        <v>182</v>
      </c>
    </row>
    <row r="398" ht="15.75" customHeight="1">
      <c r="A398" s="4" t="s">
        <v>710</v>
      </c>
      <c r="C398" s="25" t="s">
        <v>108</v>
      </c>
      <c r="D398" s="25" t="s">
        <v>55</v>
      </c>
      <c r="E398" s="25"/>
      <c r="F398" s="25" t="s">
        <v>1338</v>
      </c>
      <c r="G398" s="25" t="s">
        <v>39</v>
      </c>
      <c r="H398" s="25" t="s">
        <v>40</v>
      </c>
      <c r="I398" s="26">
        <v>414.72</v>
      </c>
      <c r="J398" s="25" t="s">
        <v>1339</v>
      </c>
      <c r="K398" s="25" t="s">
        <v>1338</v>
      </c>
      <c r="L398" s="25" t="s">
        <v>1340</v>
      </c>
      <c r="M398" s="25" t="s">
        <v>371</v>
      </c>
      <c r="N398" s="25" t="s">
        <v>1341</v>
      </c>
      <c r="O398" s="25" t="s">
        <v>45</v>
      </c>
      <c r="P398" s="25" t="s">
        <v>1342</v>
      </c>
      <c r="Q398" s="25" t="s">
        <v>308</v>
      </c>
    </row>
    <row r="399" ht="15.75" customHeight="1">
      <c r="A399" s="4" t="s">
        <v>506</v>
      </c>
      <c r="C399" s="23" t="s">
        <v>91</v>
      </c>
      <c r="D399" s="23" t="s">
        <v>55</v>
      </c>
      <c r="E399" s="23"/>
      <c r="F399" s="23" t="s">
        <v>1338</v>
      </c>
      <c r="G399" s="23" t="s">
        <v>39</v>
      </c>
      <c r="H399" s="23" t="s">
        <v>40</v>
      </c>
      <c r="I399" s="24">
        <v>414.72</v>
      </c>
      <c r="J399" s="23" t="s">
        <v>1343</v>
      </c>
      <c r="K399" s="23" t="s">
        <v>1338</v>
      </c>
      <c r="L399" s="23" t="s">
        <v>1340</v>
      </c>
      <c r="M399" s="23" t="s">
        <v>371</v>
      </c>
      <c r="N399" s="23" t="s">
        <v>1341</v>
      </c>
      <c r="O399" s="23" t="s">
        <v>45</v>
      </c>
      <c r="P399" s="23" t="s">
        <v>1344</v>
      </c>
      <c r="Q399" s="23" t="s">
        <v>308</v>
      </c>
    </row>
    <row r="400" ht="15.75" customHeight="1">
      <c r="A400" s="4" t="s">
        <v>710</v>
      </c>
      <c r="C400" s="25" t="s">
        <v>123</v>
      </c>
      <c r="D400" s="25" t="s">
        <v>55</v>
      </c>
      <c r="E400" s="25"/>
      <c r="F400" s="25" t="s">
        <v>1345</v>
      </c>
      <c r="G400" s="25" t="s">
        <v>93</v>
      </c>
      <c r="H400" s="25" t="s">
        <v>94</v>
      </c>
      <c r="I400" s="26">
        <v>442.01</v>
      </c>
      <c r="J400" s="25" t="s">
        <v>1346</v>
      </c>
      <c r="K400" s="25" t="s">
        <v>1345</v>
      </c>
      <c r="L400" s="25" t="s">
        <v>1347</v>
      </c>
      <c r="M400" s="25" t="s">
        <v>142</v>
      </c>
      <c r="N400" s="25" t="s">
        <v>180</v>
      </c>
      <c r="O400" s="25" t="s">
        <v>45</v>
      </c>
      <c r="P400" s="25" t="s">
        <v>1348</v>
      </c>
      <c r="Q400" s="25" t="s">
        <v>1349</v>
      </c>
    </row>
    <row r="401" ht="15.75" customHeight="1">
      <c r="A401" s="4" t="s">
        <v>710</v>
      </c>
      <c r="C401" s="25" t="s">
        <v>65</v>
      </c>
      <c r="D401" s="25" t="s">
        <v>55</v>
      </c>
      <c r="E401" s="25"/>
      <c r="F401" s="25" t="s">
        <v>1338</v>
      </c>
      <c r="G401" s="25" t="s">
        <v>39</v>
      </c>
      <c r="H401" s="25" t="s">
        <v>40</v>
      </c>
      <c r="I401" s="26">
        <v>472.56</v>
      </c>
      <c r="J401" s="25" t="s">
        <v>1350</v>
      </c>
      <c r="K401" s="25" t="s">
        <v>1338</v>
      </c>
      <c r="L401" s="25" t="s">
        <v>1340</v>
      </c>
      <c r="M401" s="25" t="s">
        <v>371</v>
      </c>
      <c r="N401" s="25" t="s">
        <v>1341</v>
      </c>
      <c r="O401" s="25" t="s">
        <v>45</v>
      </c>
      <c r="P401" s="25" t="s">
        <v>1351</v>
      </c>
      <c r="Q401" s="25" t="s">
        <v>308</v>
      </c>
    </row>
    <row r="402" ht="15.75" customHeight="1">
      <c r="A402" s="4" t="s">
        <v>710</v>
      </c>
      <c r="C402" s="25" t="s">
        <v>290</v>
      </c>
      <c r="D402" s="25" t="s">
        <v>55</v>
      </c>
      <c r="E402" s="25"/>
      <c r="F402" s="25" t="s">
        <v>445</v>
      </c>
      <c r="G402" s="25" t="s">
        <v>127</v>
      </c>
      <c r="H402" s="25" t="s">
        <v>128</v>
      </c>
      <c r="I402" s="26">
        <v>501.14</v>
      </c>
      <c r="J402" s="25" t="s">
        <v>1252</v>
      </c>
      <c r="K402" s="25" t="s">
        <v>445</v>
      </c>
      <c r="L402" s="25" t="s">
        <v>447</v>
      </c>
      <c r="M402" s="25" t="s">
        <v>142</v>
      </c>
      <c r="N402" s="25" t="s">
        <v>143</v>
      </c>
      <c r="O402" s="25" t="s">
        <v>45</v>
      </c>
      <c r="P402" s="25" t="s">
        <v>1352</v>
      </c>
      <c r="Q402" s="25" t="s">
        <v>182</v>
      </c>
    </row>
    <row r="403" ht="15.75" customHeight="1">
      <c r="A403" s="4" t="s">
        <v>710</v>
      </c>
      <c r="C403" s="23" t="s">
        <v>54</v>
      </c>
      <c r="D403" s="23" t="s">
        <v>55</v>
      </c>
      <c r="E403" s="23"/>
      <c r="F403" s="23" t="s">
        <v>430</v>
      </c>
      <c r="G403" s="23" t="s">
        <v>39</v>
      </c>
      <c r="H403" s="23" t="s">
        <v>40</v>
      </c>
      <c r="I403" s="24">
        <v>513.9</v>
      </c>
      <c r="J403" s="23" t="s">
        <v>1353</v>
      </c>
      <c r="K403" s="23" t="s">
        <v>430</v>
      </c>
      <c r="L403" s="23" t="s">
        <v>432</v>
      </c>
      <c r="M403" s="23" t="s">
        <v>433</v>
      </c>
      <c r="N403" s="23" t="s">
        <v>434</v>
      </c>
      <c r="O403" s="23" t="s">
        <v>45</v>
      </c>
      <c r="P403" s="23" t="s">
        <v>1354</v>
      </c>
      <c r="Q403" s="23" t="s">
        <v>74</v>
      </c>
    </row>
    <row r="404" ht="15.75" customHeight="1">
      <c r="A404" s="4" t="s">
        <v>710</v>
      </c>
      <c r="C404" s="23" t="s">
        <v>131</v>
      </c>
      <c r="D404" s="23" t="s">
        <v>55</v>
      </c>
      <c r="E404" s="23"/>
      <c r="F404" s="23" t="s">
        <v>1355</v>
      </c>
      <c r="G404" s="23" t="s">
        <v>39</v>
      </c>
      <c r="H404" s="23" t="s">
        <v>40</v>
      </c>
      <c r="I404" s="24">
        <v>525.96</v>
      </c>
      <c r="J404" s="23" t="s">
        <v>1356</v>
      </c>
      <c r="K404" s="23" t="s">
        <v>1355</v>
      </c>
      <c r="L404" s="23" t="s">
        <v>1357</v>
      </c>
      <c r="M404" s="23" t="s">
        <v>371</v>
      </c>
      <c r="N404" s="23" t="s">
        <v>372</v>
      </c>
      <c r="O404" s="23" t="s">
        <v>45</v>
      </c>
      <c r="P404" s="23" t="s">
        <v>1358</v>
      </c>
      <c r="Q404" s="23" t="s">
        <v>174</v>
      </c>
    </row>
    <row r="405" ht="15.75" customHeight="1">
      <c r="A405" s="4" t="s">
        <v>710</v>
      </c>
      <c r="C405" s="23" t="s">
        <v>83</v>
      </c>
      <c r="D405" s="23" t="s">
        <v>55</v>
      </c>
      <c r="E405" s="23"/>
      <c r="F405" s="23" t="s">
        <v>820</v>
      </c>
      <c r="G405" s="23" t="s">
        <v>39</v>
      </c>
      <c r="H405" s="23" t="s">
        <v>40</v>
      </c>
      <c r="I405" s="24">
        <v>642.17</v>
      </c>
      <c r="J405" s="23" t="s">
        <v>1359</v>
      </c>
      <c r="K405" s="23" t="s">
        <v>820</v>
      </c>
      <c r="L405" s="23" t="s">
        <v>822</v>
      </c>
      <c r="M405" s="23" t="s">
        <v>43</v>
      </c>
      <c r="N405" s="23" t="s">
        <v>823</v>
      </c>
      <c r="O405" s="23" t="s">
        <v>45</v>
      </c>
      <c r="P405" s="23" t="s">
        <v>1360</v>
      </c>
      <c r="Q405" s="23" t="s">
        <v>182</v>
      </c>
    </row>
    <row r="406" ht="15.75" customHeight="1">
      <c r="A406" s="22" t="s">
        <v>710</v>
      </c>
      <c r="B406" s="22"/>
      <c r="C406" s="23" t="s">
        <v>183</v>
      </c>
      <c r="D406" s="23" t="s">
        <v>55</v>
      </c>
      <c r="E406" s="23"/>
      <c r="F406" s="23" t="s">
        <v>1361</v>
      </c>
      <c r="G406" s="23" t="s">
        <v>149</v>
      </c>
      <c r="H406" s="23" t="s">
        <v>150</v>
      </c>
      <c r="I406" s="24">
        <v>717.62</v>
      </c>
      <c r="J406" s="23" t="s">
        <v>1362</v>
      </c>
      <c r="K406" s="23" t="s">
        <v>1361</v>
      </c>
      <c r="L406" s="23" t="s">
        <v>1363</v>
      </c>
      <c r="M406" s="23" t="s">
        <v>1364</v>
      </c>
      <c r="N406" s="23" t="s">
        <v>1365</v>
      </c>
      <c r="O406" s="23" t="s">
        <v>45</v>
      </c>
      <c r="P406" s="23" t="s">
        <v>1366</v>
      </c>
      <c r="Q406" s="23" t="s">
        <v>502</v>
      </c>
    </row>
    <row r="407" ht="15.75" customHeight="1">
      <c r="A407" s="4" t="s">
        <v>710</v>
      </c>
      <c r="C407" s="25" t="s">
        <v>54</v>
      </c>
      <c r="D407" s="25" t="s">
        <v>55</v>
      </c>
      <c r="E407" s="25"/>
      <c r="F407" s="25" t="s">
        <v>1367</v>
      </c>
      <c r="G407" s="25" t="s">
        <v>67</v>
      </c>
      <c r="H407" s="25" t="s">
        <v>68</v>
      </c>
      <c r="I407" s="26">
        <v>832.5</v>
      </c>
      <c r="J407" s="25" t="s">
        <v>1368</v>
      </c>
      <c r="K407" s="25" t="s">
        <v>1367</v>
      </c>
      <c r="L407" s="25" t="s">
        <v>1369</v>
      </c>
      <c r="M407" s="25" t="s">
        <v>1313</v>
      </c>
      <c r="N407" s="25" t="s">
        <v>1370</v>
      </c>
      <c r="O407" s="25" t="s">
        <v>45</v>
      </c>
      <c r="P407" s="25" t="s">
        <v>1371</v>
      </c>
      <c r="Q407" s="25" t="s">
        <v>417</v>
      </c>
    </row>
    <row r="408" ht="15.75" customHeight="1">
      <c r="A408" s="4" t="s">
        <v>710</v>
      </c>
      <c r="C408" s="25" t="s">
        <v>367</v>
      </c>
      <c r="D408" s="25" t="s">
        <v>55</v>
      </c>
      <c r="E408" s="25"/>
      <c r="F408" s="25" t="s">
        <v>1114</v>
      </c>
      <c r="G408" s="25" t="s">
        <v>39</v>
      </c>
      <c r="H408" s="25" t="s">
        <v>40</v>
      </c>
      <c r="I408" s="26">
        <v>1305.7</v>
      </c>
      <c r="J408" s="25" t="s">
        <v>1157</v>
      </c>
      <c r="K408" s="25" t="s">
        <v>1114</v>
      </c>
      <c r="L408" s="25" t="s">
        <v>1116</v>
      </c>
      <c r="M408" s="25" t="s">
        <v>371</v>
      </c>
      <c r="N408" s="25" t="s">
        <v>1117</v>
      </c>
      <c r="O408" s="25" t="s">
        <v>45</v>
      </c>
      <c r="P408" s="25" t="s">
        <v>1372</v>
      </c>
      <c r="Q408" s="25" t="s">
        <v>1119</v>
      </c>
    </row>
    <row r="409" ht="15.75" customHeight="1">
      <c r="A409" s="4" t="s">
        <v>710</v>
      </c>
      <c r="C409" s="25" t="s">
        <v>233</v>
      </c>
      <c r="D409" s="25" t="s">
        <v>55</v>
      </c>
      <c r="E409" s="25"/>
      <c r="F409" s="25" t="s">
        <v>436</v>
      </c>
      <c r="G409" s="25" t="s">
        <v>39</v>
      </c>
      <c r="H409" s="25" t="s">
        <v>40</v>
      </c>
      <c r="I409" s="26">
        <v>1583.62</v>
      </c>
      <c r="J409" s="25" t="s">
        <v>1373</v>
      </c>
      <c r="K409" s="25" t="s">
        <v>436</v>
      </c>
      <c r="L409" s="25" t="s">
        <v>438</v>
      </c>
      <c r="M409" s="25" t="s">
        <v>371</v>
      </c>
      <c r="N409" s="25" t="s">
        <v>372</v>
      </c>
      <c r="O409" s="25" t="s">
        <v>45</v>
      </c>
      <c r="P409" s="25" t="s">
        <v>1374</v>
      </c>
      <c r="Q409" s="25" t="s">
        <v>174</v>
      </c>
    </row>
    <row r="410" ht="15.75" customHeight="1">
      <c r="A410" s="4" t="s">
        <v>710</v>
      </c>
      <c r="C410" s="23" t="s">
        <v>37</v>
      </c>
      <c r="D410" s="23" t="s">
        <v>55</v>
      </c>
      <c r="E410" s="23"/>
      <c r="F410" s="23" t="s">
        <v>1114</v>
      </c>
      <c r="G410" s="23" t="s">
        <v>39</v>
      </c>
      <c r="H410" s="23" t="s">
        <v>40</v>
      </c>
      <c r="I410" s="24">
        <v>1592.2</v>
      </c>
      <c r="J410" s="23" t="s">
        <v>1375</v>
      </c>
      <c r="K410" s="23" t="s">
        <v>1114</v>
      </c>
      <c r="L410" s="23" t="s">
        <v>1116</v>
      </c>
      <c r="M410" s="23" t="s">
        <v>371</v>
      </c>
      <c r="N410" s="23" t="s">
        <v>1117</v>
      </c>
      <c r="O410" s="23" t="s">
        <v>45</v>
      </c>
      <c r="P410" s="23" t="s">
        <v>1376</v>
      </c>
      <c r="Q410" s="23" t="s">
        <v>1119</v>
      </c>
    </row>
    <row r="411" ht="15.75" customHeight="1">
      <c r="A411" s="4" t="s">
        <v>710</v>
      </c>
      <c r="C411" s="23" t="s">
        <v>37</v>
      </c>
      <c r="D411" s="23" t="s">
        <v>55</v>
      </c>
      <c r="E411" s="23"/>
      <c r="F411" s="23" t="s">
        <v>445</v>
      </c>
      <c r="G411" s="23" t="s">
        <v>127</v>
      </c>
      <c r="H411" s="23" t="s">
        <v>128</v>
      </c>
      <c r="I411" s="24">
        <v>1617.31</v>
      </c>
      <c r="J411" s="23" t="s">
        <v>1377</v>
      </c>
      <c r="K411" s="23" t="s">
        <v>445</v>
      </c>
      <c r="L411" s="23" t="s">
        <v>447</v>
      </c>
      <c r="M411" s="23" t="s">
        <v>142</v>
      </c>
      <c r="N411" s="23" t="s">
        <v>143</v>
      </c>
      <c r="O411" s="23" t="s">
        <v>45</v>
      </c>
      <c r="P411" s="23" t="s">
        <v>1378</v>
      </c>
      <c r="Q411" s="23" t="s">
        <v>182</v>
      </c>
    </row>
    <row r="412" ht="15.75" customHeight="1">
      <c r="A412" s="4" t="s">
        <v>710</v>
      </c>
      <c r="C412" s="25" t="s">
        <v>37</v>
      </c>
      <c r="D412" s="25" t="s">
        <v>55</v>
      </c>
      <c r="E412" s="25"/>
      <c r="F412" s="25" t="s">
        <v>1379</v>
      </c>
      <c r="G412" s="25" t="s">
        <v>39</v>
      </c>
      <c r="H412" s="25" t="s">
        <v>40</v>
      </c>
      <c r="I412" s="26">
        <v>1645.78</v>
      </c>
      <c r="J412" s="25" t="s">
        <v>1380</v>
      </c>
      <c r="K412" s="25" t="s">
        <v>1379</v>
      </c>
      <c r="L412" s="25" t="s">
        <v>1381</v>
      </c>
      <c r="M412" s="25" t="s">
        <v>43</v>
      </c>
      <c r="N412" s="25" t="s">
        <v>421</v>
      </c>
      <c r="O412" s="25" t="s">
        <v>45</v>
      </c>
      <c r="P412" s="25" t="s">
        <v>1382</v>
      </c>
      <c r="Q412" s="25" t="s">
        <v>1144</v>
      </c>
    </row>
    <row r="413" ht="15.75" customHeight="1">
      <c r="A413" s="4" t="s">
        <v>710</v>
      </c>
      <c r="C413" s="25" t="s">
        <v>37</v>
      </c>
      <c r="D413" s="25" t="s">
        <v>55</v>
      </c>
      <c r="E413" s="25"/>
      <c r="F413" s="25" t="s">
        <v>445</v>
      </c>
      <c r="G413" s="25" t="s">
        <v>127</v>
      </c>
      <c r="H413" s="25" t="s">
        <v>128</v>
      </c>
      <c r="I413" s="26">
        <v>1850.04</v>
      </c>
      <c r="J413" s="25" t="s">
        <v>1377</v>
      </c>
      <c r="K413" s="25" t="s">
        <v>445</v>
      </c>
      <c r="L413" s="25" t="s">
        <v>447</v>
      </c>
      <c r="M413" s="25" t="s">
        <v>142</v>
      </c>
      <c r="N413" s="25" t="s">
        <v>143</v>
      </c>
      <c r="O413" s="25" t="s">
        <v>45</v>
      </c>
      <c r="P413" s="25" t="s">
        <v>1383</v>
      </c>
      <c r="Q413" s="25" t="s">
        <v>182</v>
      </c>
    </row>
    <row r="414" ht="15.75" customHeight="1">
      <c r="I414" s="3"/>
    </row>
    <row r="415" ht="15.75" customHeight="1">
      <c r="G415" s="23" t="s">
        <v>14</v>
      </c>
      <c r="I415" s="3">
        <f>SUM(I2:I413)</f>
        <v>76139.06</v>
      </c>
    </row>
    <row r="416" ht="15.75" customHeight="1">
      <c r="I416" s="3"/>
    </row>
    <row r="417" ht="15.75" customHeight="1">
      <c r="G417" s="5" t="s">
        <v>5</v>
      </c>
      <c r="H417" s="5"/>
      <c r="I417" s="11" t="s">
        <v>6</v>
      </c>
      <c r="J417" s="5" t="s">
        <v>7</v>
      </c>
      <c r="K417" s="5" t="s">
        <v>8</v>
      </c>
      <c r="L417" s="5" t="s">
        <v>9</v>
      </c>
    </row>
    <row r="418" ht="15.75" customHeight="1">
      <c r="G418" s="7" t="s">
        <v>10</v>
      </c>
      <c r="H418" s="7"/>
      <c r="I418" s="12">
        <f>SUMIF(A2:A413,"no",I2:I413)</f>
        <v>33787.32</v>
      </c>
      <c r="J418" s="7">
        <f>COUNTIF(A2:A413,"no")</f>
        <v>112</v>
      </c>
      <c r="K418" s="9">
        <f t="shared" ref="K418:L418" si="1">I418/I420</f>
        <v>0.4437580396</v>
      </c>
      <c r="L418" s="9">
        <f t="shared" si="1"/>
        <v>0.2718446602</v>
      </c>
    </row>
    <row r="419" ht="15.75" customHeight="1">
      <c r="G419" s="4" t="s">
        <v>11</v>
      </c>
      <c r="I419" s="3">
        <f>SUMIF(A2:A413,"yes",I2:I413)</f>
        <v>42351.74</v>
      </c>
      <c r="J419" s="4">
        <f>COUNTIF(A2:A413,"yes")</f>
        <v>300</v>
      </c>
      <c r="K419" s="10">
        <f t="shared" ref="K419:L419" si="2">I419/I420</f>
        <v>0.5562419604</v>
      </c>
      <c r="L419" s="10">
        <f t="shared" si="2"/>
        <v>0.7281553398</v>
      </c>
    </row>
    <row r="420" ht="15.75" customHeight="1">
      <c r="I420" s="3">
        <f t="shared" ref="I420:J420" si="3">SUM(I418:I419)</f>
        <v>76139.06</v>
      </c>
      <c r="J420" s="4">
        <f t="shared" si="3"/>
        <v>412</v>
      </c>
    </row>
    <row r="421" ht="15.75" customHeight="1">
      <c r="I421" s="3"/>
    </row>
    <row r="422" ht="15.75" customHeight="1">
      <c r="I422" s="3"/>
    </row>
    <row r="423" ht="15.75" customHeight="1">
      <c r="I423" s="3"/>
    </row>
    <row r="424" ht="15.75" customHeight="1">
      <c r="I424" s="3"/>
    </row>
    <row r="425" ht="15.75" customHeight="1">
      <c r="I425" s="3"/>
    </row>
    <row r="426" ht="15.75" customHeight="1">
      <c r="I426" s="3"/>
    </row>
    <row r="427" ht="15.75" customHeight="1">
      <c r="I427" s="3"/>
    </row>
    <row r="428" ht="15.75" customHeight="1">
      <c r="I428" s="3"/>
    </row>
    <row r="429" ht="15.75" customHeight="1">
      <c r="I429" s="3"/>
    </row>
    <row r="430" ht="15.75" customHeight="1">
      <c r="I430" s="3"/>
    </row>
    <row r="431" ht="15.75" customHeight="1">
      <c r="I431" s="3"/>
    </row>
    <row r="432" ht="15.75" customHeight="1">
      <c r="I432" s="3"/>
    </row>
    <row r="433" ht="15.75" customHeight="1">
      <c r="I433" s="3"/>
    </row>
    <row r="434" ht="15.75" customHeight="1">
      <c r="I434" s="3"/>
    </row>
    <row r="435" ht="15.75" customHeight="1">
      <c r="I435" s="3"/>
    </row>
    <row r="436" ht="15.75" customHeight="1">
      <c r="I436" s="3"/>
    </row>
    <row r="437" ht="15.75" customHeight="1">
      <c r="I437" s="3"/>
    </row>
    <row r="438" ht="15.75" customHeight="1">
      <c r="I438" s="3"/>
    </row>
    <row r="439" ht="15.75" customHeight="1">
      <c r="I439" s="3"/>
    </row>
    <row r="440" ht="15.75" customHeight="1">
      <c r="I440" s="3"/>
    </row>
    <row r="441" ht="15.75" customHeight="1">
      <c r="I441" s="3"/>
    </row>
    <row r="442" ht="15.75" customHeight="1">
      <c r="I442" s="3"/>
    </row>
    <row r="443" ht="15.75" customHeight="1">
      <c r="I443" s="3"/>
    </row>
    <row r="444" ht="15.75" customHeight="1">
      <c r="I444" s="3"/>
    </row>
    <row r="445" ht="15.75" customHeight="1">
      <c r="I445" s="3"/>
    </row>
    <row r="446" ht="15.75" customHeight="1">
      <c r="I446" s="3"/>
    </row>
    <row r="447" ht="15.75" customHeight="1">
      <c r="I447" s="3"/>
    </row>
    <row r="448" ht="15.75" customHeight="1">
      <c r="I448" s="3"/>
    </row>
    <row r="449" ht="15.75" customHeight="1">
      <c r="I449" s="3"/>
    </row>
    <row r="450" ht="15.75" customHeight="1">
      <c r="I450" s="3"/>
    </row>
    <row r="451" ht="15.75" customHeight="1">
      <c r="I451" s="3"/>
    </row>
    <row r="452" ht="15.75" customHeight="1">
      <c r="I452" s="3"/>
    </row>
    <row r="453" ht="15.75" customHeight="1">
      <c r="I453" s="3"/>
    </row>
    <row r="454" ht="15.75" customHeight="1">
      <c r="I454" s="3"/>
    </row>
    <row r="455" ht="15.75" customHeight="1">
      <c r="I455" s="3"/>
    </row>
    <row r="456" ht="15.75" customHeight="1">
      <c r="I456" s="3"/>
    </row>
    <row r="457" ht="15.75" customHeight="1">
      <c r="I457" s="3"/>
    </row>
    <row r="458" ht="15.75" customHeight="1">
      <c r="I458" s="3"/>
    </row>
    <row r="459" ht="15.75" customHeight="1">
      <c r="I459" s="3"/>
    </row>
    <row r="460" ht="15.75" customHeight="1">
      <c r="I460" s="3"/>
    </row>
    <row r="461" ht="15.75" customHeight="1">
      <c r="I461" s="3"/>
    </row>
    <row r="462" ht="15.75" customHeight="1">
      <c r="I462" s="3"/>
    </row>
    <row r="463" ht="15.75" customHeight="1">
      <c r="I463" s="3"/>
    </row>
    <row r="464" ht="15.75" customHeight="1">
      <c r="I464" s="3"/>
    </row>
    <row r="465" ht="15.75" customHeight="1">
      <c r="I465" s="3"/>
    </row>
    <row r="466" ht="15.75" customHeight="1">
      <c r="I466" s="3"/>
    </row>
    <row r="467" ht="15.75" customHeight="1">
      <c r="I467" s="3"/>
    </row>
    <row r="468" ht="15.75" customHeight="1">
      <c r="I468" s="3"/>
    </row>
    <row r="469" ht="15.75" customHeight="1">
      <c r="I469" s="3"/>
    </row>
    <row r="470" ht="15.75" customHeight="1">
      <c r="I470" s="3"/>
    </row>
    <row r="471" ht="15.75" customHeight="1">
      <c r="I471" s="3"/>
    </row>
    <row r="472" ht="15.75" customHeight="1">
      <c r="I472" s="3"/>
    </row>
    <row r="473" ht="15.75" customHeight="1">
      <c r="I473" s="3"/>
    </row>
    <row r="474" ht="15.75" customHeight="1">
      <c r="I474" s="3"/>
    </row>
    <row r="475" ht="15.75" customHeight="1">
      <c r="I475" s="3"/>
    </row>
    <row r="476" ht="15.75" customHeight="1">
      <c r="I476" s="3"/>
    </row>
    <row r="477" ht="15.75" customHeight="1">
      <c r="I477" s="3"/>
    </row>
    <row r="478" ht="15.75" customHeight="1">
      <c r="I478" s="3"/>
    </row>
    <row r="479" ht="15.75" customHeight="1">
      <c r="I479" s="3"/>
    </row>
    <row r="480" ht="15.75" customHeight="1">
      <c r="I480" s="3"/>
    </row>
    <row r="481" ht="15.75" customHeight="1">
      <c r="I481" s="3"/>
    </row>
    <row r="482" ht="15.75" customHeight="1">
      <c r="I482" s="3"/>
    </row>
    <row r="483" ht="15.75" customHeight="1">
      <c r="I483" s="3"/>
    </row>
    <row r="484" ht="15.75" customHeight="1">
      <c r="I484" s="3"/>
    </row>
    <row r="485" ht="15.75" customHeight="1">
      <c r="I485" s="3"/>
    </row>
    <row r="486" ht="15.75" customHeight="1">
      <c r="I486" s="3"/>
    </row>
    <row r="487" ht="15.75" customHeight="1">
      <c r="I487" s="3"/>
    </row>
    <row r="488" ht="15.75" customHeight="1">
      <c r="I488" s="3"/>
    </row>
    <row r="489" ht="15.75" customHeight="1">
      <c r="I489" s="3"/>
    </row>
    <row r="490" ht="15.75" customHeight="1">
      <c r="I490" s="3"/>
    </row>
    <row r="491" ht="15.75" customHeight="1">
      <c r="I491" s="3"/>
    </row>
    <row r="492" ht="15.75" customHeight="1">
      <c r="I492" s="3"/>
    </row>
    <row r="493" ht="15.75" customHeight="1">
      <c r="I493" s="3"/>
    </row>
    <row r="494" ht="15.75" customHeight="1">
      <c r="I494" s="3"/>
    </row>
    <row r="495" ht="15.75" customHeight="1">
      <c r="I495" s="3"/>
    </row>
    <row r="496" ht="15.75" customHeight="1">
      <c r="I496" s="3"/>
    </row>
    <row r="497" ht="15.75" customHeight="1">
      <c r="I497" s="3"/>
    </row>
    <row r="498" ht="15.75" customHeight="1">
      <c r="I498" s="3"/>
    </row>
    <row r="499" ht="15.75" customHeight="1">
      <c r="I499" s="3"/>
    </row>
    <row r="500" ht="15.75" customHeight="1">
      <c r="I500" s="3"/>
    </row>
    <row r="501" ht="15.75" customHeight="1">
      <c r="I501" s="3"/>
    </row>
    <row r="502" ht="15.75" customHeight="1">
      <c r="I502" s="3"/>
    </row>
    <row r="503" ht="15.75" customHeight="1">
      <c r="I503" s="3"/>
    </row>
    <row r="504" ht="15.75" customHeight="1">
      <c r="I504" s="3"/>
    </row>
    <row r="505" ht="15.75" customHeight="1">
      <c r="I505" s="3"/>
    </row>
    <row r="506" ht="15.75" customHeight="1">
      <c r="I506" s="3"/>
    </row>
    <row r="507" ht="15.75" customHeight="1">
      <c r="I507" s="3"/>
    </row>
    <row r="508" ht="15.75" customHeight="1">
      <c r="I508" s="3"/>
    </row>
    <row r="509" ht="15.75" customHeight="1">
      <c r="I509" s="3"/>
    </row>
    <row r="510" ht="15.75" customHeight="1">
      <c r="I510" s="3"/>
    </row>
    <row r="511" ht="15.75" customHeight="1">
      <c r="I511" s="3"/>
    </row>
    <row r="512" ht="15.75" customHeight="1">
      <c r="I512" s="3"/>
    </row>
    <row r="513" ht="15.75" customHeight="1">
      <c r="I513" s="3"/>
    </row>
    <row r="514" ht="15.75" customHeight="1">
      <c r="I514" s="3"/>
    </row>
    <row r="515" ht="15.75" customHeight="1">
      <c r="I515" s="3"/>
    </row>
    <row r="516" ht="15.75" customHeight="1">
      <c r="I516" s="3"/>
    </row>
    <row r="517" ht="15.75" customHeight="1">
      <c r="I517" s="3"/>
    </row>
    <row r="518" ht="15.75" customHeight="1">
      <c r="I518" s="3"/>
    </row>
    <row r="519" ht="15.75" customHeight="1">
      <c r="I519" s="3"/>
    </row>
    <row r="520" ht="15.75" customHeight="1">
      <c r="I520" s="3"/>
    </row>
    <row r="521" ht="15.75" customHeight="1">
      <c r="I521" s="3"/>
    </row>
    <row r="522" ht="15.75" customHeight="1">
      <c r="I522" s="3"/>
    </row>
    <row r="523" ht="15.75" customHeight="1">
      <c r="I523" s="3"/>
    </row>
    <row r="524" ht="15.75" customHeight="1">
      <c r="I524" s="3"/>
    </row>
    <row r="525" ht="15.75" customHeight="1">
      <c r="I525" s="3"/>
    </row>
    <row r="526" ht="15.75" customHeight="1">
      <c r="I526" s="3"/>
    </row>
    <row r="527" ht="15.75" customHeight="1">
      <c r="I527" s="3"/>
    </row>
    <row r="528" ht="15.75" customHeight="1">
      <c r="I528" s="3"/>
    </row>
    <row r="529" ht="15.75" customHeight="1">
      <c r="I529" s="3"/>
    </row>
    <row r="530" ht="15.75" customHeight="1">
      <c r="I530" s="3"/>
    </row>
    <row r="531" ht="15.75" customHeight="1">
      <c r="I531" s="3"/>
    </row>
    <row r="532" ht="15.75" customHeight="1">
      <c r="I532" s="3"/>
    </row>
    <row r="533" ht="15.75" customHeight="1">
      <c r="I533" s="3"/>
    </row>
    <row r="534" ht="15.75" customHeight="1">
      <c r="I534" s="3"/>
    </row>
    <row r="535" ht="15.75" customHeight="1">
      <c r="I535" s="3"/>
    </row>
    <row r="536" ht="15.75" customHeight="1">
      <c r="I536" s="3"/>
    </row>
    <row r="537" ht="15.75" customHeight="1">
      <c r="I537" s="3"/>
    </row>
    <row r="538" ht="15.75" customHeight="1">
      <c r="I538" s="3"/>
    </row>
    <row r="539" ht="15.75" customHeight="1">
      <c r="I539" s="3"/>
    </row>
    <row r="540" ht="15.75" customHeight="1">
      <c r="I540" s="3"/>
    </row>
    <row r="541" ht="15.75" customHeight="1">
      <c r="I541" s="3"/>
    </row>
    <row r="542" ht="15.75" customHeight="1">
      <c r="I542" s="3"/>
    </row>
    <row r="543" ht="15.75" customHeight="1">
      <c r="I543" s="3"/>
    </row>
    <row r="544" ht="15.75" customHeight="1">
      <c r="I544" s="3"/>
    </row>
    <row r="545" ht="15.75" customHeight="1">
      <c r="I545" s="3"/>
    </row>
    <row r="546" ht="15.75" customHeight="1">
      <c r="I546" s="3"/>
    </row>
    <row r="547" ht="15.75" customHeight="1">
      <c r="I547" s="3"/>
    </row>
    <row r="548" ht="15.75" customHeight="1">
      <c r="I548" s="3"/>
    </row>
    <row r="549" ht="15.75" customHeight="1">
      <c r="I549" s="3"/>
    </row>
    <row r="550" ht="15.75" customHeight="1">
      <c r="I550" s="3"/>
    </row>
    <row r="551" ht="15.75" customHeight="1">
      <c r="I551" s="3"/>
    </row>
    <row r="552" ht="15.75" customHeight="1">
      <c r="I552" s="3"/>
    </row>
    <row r="553" ht="15.75" customHeight="1">
      <c r="I553" s="3"/>
    </row>
    <row r="554" ht="15.75" customHeight="1">
      <c r="I554" s="3"/>
    </row>
    <row r="555" ht="15.75" customHeight="1">
      <c r="I555" s="3"/>
    </row>
    <row r="556" ht="15.75" customHeight="1">
      <c r="I556" s="3"/>
    </row>
    <row r="557" ht="15.75" customHeight="1">
      <c r="I557" s="3"/>
    </row>
    <row r="558" ht="15.75" customHeight="1">
      <c r="I558" s="3"/>
    </row>
    <row r="559" ht="15.75" customHeight="1">
      <c r="I559" s="3"/>
    </row>
    <row r="560" ht="15.75" customHeight="1">
      <c r="I560" s="3"/>
    </row>
    <row r="561" ht="15.75" customHeight="1">
      <c r="I561" s="3"/>
    </row>
    <row r="562" ht="15.75" customHeight="1">
      <c r="I562" s="3"/>
    </row>
    <row r="563" ht="15.75" customHeight="1">
      <c r="I563" s="3"/>
    </row>
    <row r="564" ht="15.75" customHeight="1">
      <c r="I564" s="3"/>
    </row>
    <row r="565" ht="15.75" customHeight="1">
      <c r="I565" s="3"/>
    </row>
    <row r="566" ht="15.75" customHeight="1">
      <c r="I566" s="3"/>
    </row>
    <row r="567" ht="15.75" customHeight="1">
      <c r="I567" s="3"/>
    </row>
    <row r="568" ht="15.75" customHeight="1">
      <c r="I568" s="3"/>
    </row>
    <row r="569" ht="15.75" customHeight="1">
      <c r="I569" s="3"/>
    </row>
    <row r="570" ht="15.75" customHeight="1">
      <c r="I570" s="3"/>
    </row>
    <row r="571" ht="15.75" customHeight="1">
      <c r="I571" s="3"/>
    </row>
    <row r="572" ht="15.75" customHeight="1">
      <c r="I572" s="3"/>
    </row>
    <row r="573" ht="15.75" customHeight="1">
      <c r="I573" s="3"/>
    </row>
    <row r="574" ht="15.75" customHeight="1">
      <c r="I574" s="3"/>
    </row>
    <row r="575" ht="15.75" customHeight="1">
      <c r="I575" s="3"/>
    </row>
    <row r="576" ht="15.75" customHeight="1">
      <c r="I576" s="3"/>
    </row>
    <row r="577" ht="15.75" customHeight="1">
      <c r="I577" s="3"/>
    </row>
    <row r="578" ht="15.75" customHeight="1">
      <c r="I578" s="3"/>
    </row>
    <row r="579" ht="15.75" customHeight="1">
      <c r="I579" s="3"/>
    </row>
    <row r="580" ht="15.75" customHeight="1">
      <c r="I580" s="3"/>
    </row>
    <row r="581" ht="15.75" customHeight="1">
      <c r="I581" s="3"/>
    </row>
    <row r="582" ht="15.75" customHeight="1">
      <c r="I582" s="3"/>
    </row>
    <row r="583" ht="15.75" customHeight="1">
      <c r="I583" s="3"/>
    </row>
    <row r="584" ht="15.75" customHeight="1">
      <c r="I584" s="3"/>
    </row>
    <row r="585" ht="15.75" customHeight="1">
      <c r="I585" s="3"/>
    </row>
    <row r="586" ht="15.75" customHeight="1">
      <c r="I586" s="3"/>
    </row>
    <row r="587" ht="15.75" customHeight="1">
      <c r="I587" s="3"/>
    </row>
    <row r="588" ht="15.75" customHeight="1">
      <c r="I588" s="3"/>
    </row>
    <row r="589" ht="15.75" customHeight="1">
      <c r="I589" s="3"/>
    </row>
    <row r="590" ht="15.75" customHeight="1">
      <c r="I590" s="3"/>
    </row>
    <row r="591" ht="15.75" customHeight="1">
      <c r="I591" s="3"/>
    </row>
    <row r="592" ht="15.75" customHeight="1">
      <c r="I592" s="3"/>
    </row>
    <row r="593" ht="15.75" customHeight="1">
      <c r="I593" s="3"/>
    </row>
    <row r="594" ht="15.75" customHeight="1">
      <c r="I594" s="3"/>
    </row>
    <row r="595" ht="15.75" customHeight="1">
      <c r="I595" s="3"/>
    </row>
    <row r="596" ht="15.75" customHeight="1">
      <c r="I596" s="3"/>
    </row>
    <row r="597" ht="15.75" customHeight="1">
      <c r="I597" s="3"/>
    </row>
    <row r="598" ht="15.75" customHeight="1">
      <c r="I598" s="3"/>
    </row>
    <row r="599" ht="15.75" customHeight="1">
      <c r="I599" s="3"/>
    </row>
    <row r="600" ht="15.75" customHeight="1">
      <c r="I600" s="3"/>
    </row>
    <row r="601" ht="15.75" customHeight="1">
      <c r="I601" s="3"/>
    </row>
    <row r="602" ht="15.75" customHeight="1">
      <c r="I602" s="3"/>
    </row>
    <row r="603" ht="15.75" customHeight="1">
      <c r="I603" s="3"/>
    </row>
    <row r="604" ht="15.75" customHeight="1">
      <c r="I604" s="3"/>
    </row>
    <row r="605" ht="15.75" customHeight="1">
      <c r="I605" s="3"/>
    </row>
    <row r="606" ht="15.75" customHeight="1">
      <c r="I606" s="3"/>
    </row>
    <row r="607" ht="15.75" customHeight="1">
      <c r="I607" s="3"/>
    </row>
    <row r="608" ht="15.75" customHeight="1">
      <c r="I608" s="3"/>
    </row>
    <row r="609" ht="15.75" customHeight="1">
      <c r="I609" s="3"/>
    </row>
    <row r="610" ht="15.75" customHeight="1">
      <c r="I610" s="3"/>
    </row>
    <row r="611" ht="15.75" customHeight="1">
      <c r="I611" s="3"/>
    </row>
    <row r="612" ht="15.75" customHeight="1">
      <c r="I612" s="3"/>
    </row>
    <row r="613" ht="15.75" customHeight="1">
      <c r="I613" s="3"/>
    </row>
    <row r="614" ht="15.75" customHeight="1">
      <c r="I614" s="3"/>
    </row>
    <row r="615" ht="15.75" customHeight="1">
      <c r="I615" s="3"/>
    </row>
    <row r="616" ht="15.75" customHeight="1">
      <c r="I616" s="3"/>
    </row>
    <row r="617" ht="15.75" customHeight="1">
      <c r="I617" s="3"/>
    </row>
    <row r="618" ht="15.75" customHeight="1">
      <c r="I618" s="3"/>
    </row>
    <row r="619" ht="15.75" customHeight="1">
      <c r="I619" s="3"/>
    </row>
    <row r="620" ht="15.75" customHeight="1">
      <c r="I620" s="3"/>
    </row>
    <row r="621" ht="15.75" customHeight="1">
      <c r="I621" s="3"/>
    </row>
    <row r="622" ht="15.75" customHeight="1">
      <c r="I622" s="3"/>
    </row>
    <row r="623" ht="15.75" customHeight="1">
      <c r="I623" s="3"/>
    </row>
    <row r="624" ht="15.75" customHeight="1">
      <c r="I624" s="3"/>
    </row>
    <row r="625" ht="15.75" customHeight="1">
      <c r="I625" s="3"/>
    </row>
    <row r="626" ht="15.75" customHeight="1">
      <c r="I626" s="3"/>
    </row>
    <row r="627" ht="15.75" customHeight="1">
      <c r="I627" s="3"/>
    </row>
    <row r="628" ht="15.75" customHeight="1">
      <c r="I628" s="3"/>
    </row>
    <row r="629" ht="15.75" customHeight="1">
      <c r="I629" s="3"/>
    </row>
    <row r="630" ht="15.75" customHeight="1">
      <c r="I630" s="3"/>
    </row>
    <row r="631" ht="15.75" customHeight="1">
      <c r="I631" s="3"/>
    </row>
    <row r="632" ht="15.75" customHeight="1">
      <c r="I632" s="3"/>
    </row>
    <row r="633" ht="15.75" customHeight="1">
      <c r="I633" s="3"/>
    </row>
    <row r="634" ht="15.75" customHeight="1">
      <c r="I634" s="3"/>
    </row>
    <row r="635" ht="15.75" customHeight="1">
      <c r="I635" s="3"/>
    </row>
    <row r="636" ht="15.75" customHeight="1">
      <c r="I636" s="3"/>
    </row>
    <row r="637" ht="15.75" customHeight="1">
      <c r="I637" s="3"/>
    </row>
    <row r="638" ht="15.75" customHeight="1">
      <c r="I638" s="3"/>
    </row>
    <row r="639" ht="15.75" customHeight="1">
      <c r="I639" s="3"/>
    </row>
    <row r="640" ht="15.75" customHeight="1">
      <c r="I640" s="3"/>
    </row>
    <row r="641" ht="15.75" customHeight="1">
      <c r="I641" s="3"/>
    </row>
    <row r="642" ht="15.75" customHeight="1">
      <c r="I642" s="3"/>
    </row>
    <row r="643" ht="15.75" customHeight="1">
      <c r="I643" s="3"/>
    </row>
    <row r="644" ht="15.75" customHeight="1">
      <c r="I644" s="3"/>
    </row>
    <row r="645" ht="15.75" customHeight="1">
      <c r="I645" s="3"/>
    </row>
    <row r="646" ht="15.75" customHeight="1">
      <c r="I646" s="3"/>
    </row>
    <row r="647" ht="15.75" customHeight="1">
      <c r="I647" s="3"/>
    </row>
    <row r="648" ht="15.75" customHeight="1">
      <c r="I648" s="3"/>
    </row>
    <row r="649" ht="15.75" customHeight="1">
      <c r="I649" s="3"/>
    </row>
    <row r="650" ht="15.75" customHeight="1">
      <c r="I650" s="3"/>
    </row>
    <row r="651" ht="15.75" customHeight="1">
      <c r="I651" s="3"/>
    </row>
    <row r="652" ht="15.75" customHeight="1">
      <c r="I652" s="3"/>
    </row>
    <row r="653" ht="15.75" customHeight="1">
      <c r="I653" s="3"/>
    </row>
    <row r="654" ht="15.75" customHeight="1">
      <c r="I654" s="3"/>
    </row>
    <row r="655" ht="15.75" customHeight="1">
      <c r="I655" s="3"/>
    </row>
    <row r="656" ht="15.75" customHeight="1">
      <c r="I656" s="3"/>
    </row>
    <row r="657" ht="15.75" customHeight="1">
      <c r="I657" s="3"/>
    </row>
    <row r="658" ht="15.75" customHeight="1">
      <c r="I658" s="3"/>
    </row>
    <row r="659" ht="15.75" customHeight="1">
      <c r="I659" s="3"/>
    </row>
    <row r="660" ht="15.75" customHeight="1">
      <c r="I660" s="3"/>
    </row>
    <row r="661" ht="15.75" customHeight="1">
      <c r="I661" s="3"/>
    </row>
    <row r="662" ht="15.75" customHeight="1">
      <c r="I662" s="3"/>
    </row>
    <row r="663" ht="15.75" customHeight="1">
      <c r="I663" s="3"/>
    </row>
    <row r="664" ht="15.75" customHeight="1">
      <c r="I664" s="3"/>
    </row>
    <row r="665" ht="15.75" customHeight="1">
      <c r="I665" s="3"/>
    </row>
    <row r="666" ht="15.75" customHeight="1">
      <c r="I666" s="3"/>
    </row>
    <row r="667" ht="15.75" customHeight="1">
      <c r="I667" s="3"/>
    </row>
    <row r="668" ht="15.75" customHeight="1">
      <c r="I668" s="3"/>
    </row>
    <row r="669" ht="15.75" customHeight="1">
      <c r="I669" s="3"/>
    </row>
    <row r="670" ht="15.75" customHeight="1">
      <c r="I670" s="3"/>
    </row>
    <row r="671" ht="15.75" customHeight="1">
      <c r="I671" s="3"/>
    </row>
    <row r="672" ht="15.75" customHeight="1">
      <c r="I672" s="3"/>
    </row>
    <row r="673" ht="15.75" customHeight="1">
      <c r="I673" s="3"/>
    </row>
    <row r="674" ht="15.75" customHeight="1">
      <c r="I674" s="3"/>
    </row>
    <row r="675" ht="15.75" customHeight="1">
      <c r="I675" s="3"/>
    </row>
    <row r="676" ht="15.75" customHeight="1">
      <c r="I676" s="3"/>
    </row>
    <row r="677" ht="15.75" customHeight="1">
      <c r="I677" s="3"/>
    </row>
    <row r="678" ht="15.75" customHeight="1">
      <c r="I678" s="3"/>
    </row>
    <row r="679" ht="15.75" customHeight="1">
      <c r="I679" s="3"/>
    </row>
    <row r="680" ht="15.75" customHeight="1">
      <c r="I680" s="3"/>
    </row>
    <row r="681" ht="15.75" customHeight="1">
      <c r="I681" s="3"/>
    </row>
    <row r="682" ht="15.75" customHeight="1">
      <c r="I682" s="3"/>
    </row>
    <row r="683" ht="15.75" customHeight="1">
      <c r="I683" s="3"/>
    </row>
    <row r="684" ht="15.75" customHeight="1">
      <c r="I684" s="3"/>
    </row>
    <row r="685" ht="15.75" customHeight="1">
      <c r="I685" s="3"/>
    </row>
    <row r="686" ht="15.75" customHeight="1">
      <c r="I686" s="3"/>
    </row>
    <row r="687" ht="15.75" customHeight="1">
      <c r="I687" s="3"/>
    </row>
    <row r="688" ht="15.75" customHeight="1">
      <c r="I688" s="3"/>
    </row>
    <row r="689" ht="15.75" customHeight="1">
      <c r="I689" s="3"/>
    </row>
    <row r="690" ht="15.75" customHeight="1">
      <c r="I690" s="3"/>
    </row>
    <row r="691" ht="15.75" customHeight="1">
      <c r="I691" s="3"/>
    </row>
    <row r="692" ht="15.75" customHeight="1">
      <c r="I692" s="3"/>
    </row>
    <row r="693" ht="15.75" customHeight="1">
      <c r="I693" s="3"/>
    </row>
    <row r="694" ht="15.75" customHeight="1">
      <c r="I694" s="3"/>
    </row>
    <row r="695" ht="15.75" customHeight="1">
      <c r="I695" s="3"/>
    </row>
    <row r="696" ht="15.75" customHeight="1">
      <c r="I696" s="3"/>
    </row>
    <row r="697" ht="15.75" customHeight="1">
      <c r="I697" s="3"/>
    </row>
    <row r="698" ht="15.75" customHeight="1">
      <c r="I698" s="3"/>
    </row>
    <row r="699" ht="15.75" customHeight="1">
      <c r="I699" s="3"/>
    </row>
    <row r="700" ht="15.75" customHeight="1">
      <c r="I700" s="3"/>
    </row>
    <row r="701" ht="15.75" customHeight="1">
      <c r="I701" s="3"/>
    </row>
    <row r="702" ht="15.75" customHeight="1">
      <c r="I702" s="3"/>
    </row>
    <row r="703" ht="15.75" customHeight="1">
      <c r="I703" s="3"/>
    </row>
    <row r="704" ht="15.75" customHeight="1">
      <c r="I704" s="3"/>
    </row>
    <row r="705" ht="15.75" customHeight="1">
      <c r="I705" s="3"/>
    </row>
    <row r="706" ht="15.75" customHeight="1">
      <c r="I706" s="3"/>
    </row>
    <row r="707" ht="15.75" customHeight="1">
      <c r="I707" s="3"/>
    </row>
    <row r="708" ht="15.75" customHeight="1">
      <c r="I708" s="3"/>
    </row>
    <row r="709" ht="15.75" customHeight="1">
      <c r="I709" s="3"/>
    </row>
    <row r="710" ht="15.75" customHeight="1">
      <c r="I710" s="3"/>
    </row>
    <row r="711" ht="15.75" customHeight="1">
      <c r="I711" s="3"/>
    </row>
    <row r="712" ht="15.75" customHeight="1">
      <c r="I712" s="3"/>
    </row>
    <row r="713" ht="15.75" customHeight="1">
      <c r="I713" s="3"/>
    </row>
    <row r="714" ht="15.75" customHeight="1">
      <c r="I714" s="3"/>
    </row>
    <row r="715" ht="15.75" customHeight="1">
      <c r="I715" s="3"/>
    </row>
    <row r="716" ht="15.75" customHeight="1">
      <c r="I716" s="3"/>
    </row>
    <row r="717" ht="15.75" customHeight="1">
      <c r="I717" s="3"/>
    </row>
    <row r="718" ht="15.75" customHeight="1">
      <c r="I718" s="3"/>
    </row>
    <row r="719" ht="15.75" customHeight="1">
      <c r="I719" s="3"/>
    </row>
    <row r="720" ht="15.75" customHeight="1">
      <c r="I720" s="3"/>
    </row>
    <row r="721" ht="15.75" customHeight="1">
      <c r="I721" s="3"/>
    </row>
    <row r="722" ht="15.75" customHeight="1">
      <c r="I722" s="3"/>
    </row>
    <row r="723" ht="15.75" customHeight="1">
      <c r="I723" s="3"/>
    </row>
    <row r="724" ht="15.75" customHeight="1">
      <c r="I724" s="3"/>
    </row>
    <row r="725" ht="15.75" customHeight="1">
      <c r="I725" s="3"/>
    </row>
    <row r="726" ht="15.75" customHeight="1">
      <c r="I726" s="3"/>
    </row>
    <row r="727" ht="15.75" customHeight="1">
      <c r="I727" s="3"/>
    </row>
    <row r="728" ht="15.75" customHeight="1">
      <c r="I728" s="3"/>
    </row>
    <row r="729" ht="15.75" customHeight="1">
      <c r="I729" s="3"/>
    </row>
    <row r="730" ht="15.75" customHeight="1">
      <c r="I730" s="3"/>
    </row>
    <row r="731" ht="15.75" customHeight="1">
      <c r="I731" s="3"/>
    </row>
    <row r="732" ht="15.75" customHeight="1">
      <c r="I732" s="3"/>
    </row>
    <row r="733" ht="15.75" customHeight="1">
      <c r="I733" s="3"/>
    </row>
    <row r="734" ht="15.75" customHeight="1">
      <c r="I734" s="3"/>
    </row>
    <row r="735" ht="15.75" customHeight="1">
      <c r="I735" s="3"/>
    </row>
    <row r="736" ht="15.75" customHeight="1">
      <c r="I736" s="3"/>
    </row>
    <row r="737" ht="15.75" customHeight="1">
      <c r="I737" s="3"/>
    </row>
    <row r="738" ht="15.75" customHeight="1">
      <c r="I738" s="3"/>
    </row>
    <row r="739" ht="15.75" customHeight="1">
      <c r="I739" s="3"/>
    </row>
    <row r="740" ht="15.75" customHeight="1">
      <c r="I740" s="3"/>
    </row>
    <row r="741" ht="15.75" customHeight="1">
      <c r="I741" s="3"/>
    </row>
    <row r="742" ht="15.75" customHeight="1">
      <c r="I742" s="3"/>
    </row>
    <row r="743" ht="15.75" customHeight="1">
      <c r="I743" s="3"/>
    </row>
    <row r="744" ht="15.75" customHeight="1">
      <c r="I744" s="3"/>
    </row>
    <row r="745" ht="15.75" customHeight="1">
      <c r="I745" s="3"/>
    </row>
    <row r="746" ht="15.75" customHeight="1">
      <c r="I746" s="3"/>
    </row>
    <row r="747" ht="15.75" customHeight="1">
      <c r="I747" s="3"/>
    </row>
    <row r="748" ht="15.75" customHeight="1">
      <c r="I748" s="3"/>
    </row>
    <row r="749" ht="15.75" customHeight="1">
      <c r="I749" s="3"/>
    </row>
    <row r="750" ht="15.75" customHeight="1">
      <c r="I750" s="3"/>
    </row>
    <row r="751" ht="15.75" customHeight="1">
      <c r="I751" s="3"/>
    </row>
    <row r="752" ht="15.75" customHeight="1">
      <c r="I752" s="3"/>
    </row>
    <row r="753" ht="15.75" customHeight="1">
      <c r="I753" s="3"/>
    </row>
    <row r="754" ht="15.75" customHeight="1">
      <c r="I754" s="3"/>
    </row>
    <row r="755" ht="15.75" customHeight="1">
      <c r="I755" s="3"/>
    </row>
    <row r="756" ht="15.75" customHeight="1">
      <c r="I756" s="3"/>
    </row>
    <row r="757" ht="15.75" customHeight="1">
      <c r="I757" s="3"/>
    </row>
    <row r="758" ht="15.75" customHeight="1">
      <c r="I758" s="3"/>
    </row>
    <row r="759" ht="15.75" customHeight="1">
      <c r="I759" s="3"/>
    </row>
    <row r="760" ht="15.75" customHeight="1">
      <c r="I760" s="3"/>
    </row>
    <row r="761" ht="15.75" customHeight="1">
      <c r="I761" s="3"/>
    </row>
    <row r="762" ht="15.75" customHeight="1">
      <c r="I762" s="3"/>
    </row>
    <row r="763" ht="15.75" customHeight="1">
      <c r="I763" s="3"/>
    </row>
    <row r="764" ht="15.75" customHeight="1">
      <c r="I764" s="3"/>
    </row>
    <row r="765" ht="15.75" customHeight="1">
      <c r="I765" s="3"/>
    </row>
    <row r="766" ht="15.75" customHeight="1">
      <c r="I766" s="3"/>
    </row>
    <row r="767" ht="15.75" customHeight="1">
      <c r="I767" s="3"/>
    </row>
    <row r="768" ht="15.75" customHeight="1">
      <c r="I768" s="3"/>
    </row>
    <row r="769" ht="15.75" customHeight="1">
      <c r="I769" s="3"/>
    </row>
    <row r="770" ht="15.75" customHeight="1">
      <c r="I770" s="3"/>
    </row>
    <row r="771" ht="15.75" customHeight="1">
      <c r="I771" s="3"/>
    </row>
    <row r="772" ht="15.75" customHeight="1">
      <c r="I772" s="3"/>
    </row>
    <row r="773" ht="15.75" customHeight="1">
      <c r="I773" s="3"/>
    </row>
    <row r="774" ht="15.75" customHeight="1">
      <c r="I774" s="3"/>
    </row>
    <row r="775" ht="15.75" customHeight="1">
      <c r="I775" s="3"/>
    </row>
    <row r="776" ht="15.75" customHeight="1">
      <c r="I776" s="3"/>
    </row>
    <row r="777" ht="15.75" customHeight="1">
      <c r="I777" s="3"/>
    </row>
    <row r="778" ht="15.75" customHeight="1">
      <c r="I778" s="3"/>
    </row>
    <row r="779" ht="15.75" customHeight="1">
      <c r="I779" s="3"/>
    </row>
    <row r="780" ht="15.75" customHeight="1">
      <c r="I780" s="3"/>
    </row>
    <row r="781" ht="15.75" customHeight="1">
      <c r="I781" s="3"/>
    </row>
    <row r="782" ht="15.75" customHeight="1">
      <c r="I782" s="3"/>
    </row>
    <row r="783" ht="15.75" customHeight="1">
      <c r="I783" s="3"/>
    </row>
    <row r="784" ht="15.75" customHeight="1">
      <c r="I784" s="3"/>
    </row>
    <row r="785" ht="15.75" customHeight="1">
      <c r="I785" s="3"/>
    </row>
    <row r="786" ht="15.75" customHeight="1">
      <c r="I786" s="3"/>
    </row>
    <row r="787" ht="15.75" customHeight="1">
      <c r="I787" s="3"/>
    </row>
    <row r="788" ht="15.75" customHeight="1">
      <c r="I788" s="3"/>
    </row>
    <row r="789" ht="15.75" customHeight="1">
      <c r="I789" s="3"/>
    </row>
    <row r="790" ht="15.75" customHeight="1">
      <c r="I790" s="3"/>
    </row>
    <row r="791" ht="15.75" customHeight="1">
      <c r="I791" s="3"/>
    </row>
    <row r="792" ht="15.75" customHeight="1">
      <c r="I792" s="3"/>
    </row>
    <row r="793" ht="15.75" customHeight="1">
      <c r="I793" s="3"/>
    </row>
    <row r="794" ht="15.75" customHeight="1">
      <c r="I794" s="3"/>
    </row>
    <row r="795" ht="15.75" customHeight="1">
      <c r="I795" s="3"/>
    </row>
    <row r="796" ht="15.75" customHeight="1">
      <c r="I796" s="3"/>
    </row>
    <row r="797" ht="15.75" customHeight="1">
      <c r="I797" s="3"/>
    </row>
    <row r="798" ht="15.75" customHeight="1">
      <c r="I798" s="3"/>
    </row>
    <row r="799" ht="15.75" customHeight="1">
      <c r="I799" s="3"/>
    </row>
    <row r="800" ht="15.75" customHeight="1">
      <c r="I800" s="3"/>
    </row>
    <row r="801" ht="15.75" customHeight="1">
      <c r="I801" s="3"/>
    </row>
    <row r="802" ht="15.75" customHeight="1">
      <c r="I802" s="3"/>
    </row>
    <row r="803" ht="15.75" customHeight="1">
      <c r="I803" s="3"/>
    </row>
    <row r="804" ht="15.75" customHeight="1">
      <c r="I804" s="3"/>
    </row>
    <row r="805" ht="15.75" customHeight="1">
      <c r="I805" s="3"/>
    </row>
    <row r="806" ht="15.75" customHeight="1">
      <c r="I806" s="3"/>
    </row>
    <row r="807" ht="15.75" customHeight="1">
      <c r="I807" s="3"/>
    </row>
    <row r="808" ht="15.75" customHeight="1">
      <c r="I808" s="3"/>
    </row>
    <row r="809" ht="15.75" customHeight="1">
      <c r="I809" s="3"/>
    </row>
    <row r="810" ht="15.75" customHeight="1">
      <c r="I810" s="3"/>
    </row>
    <row r="811" ht="15.75" customHeight="1">
      <c r="I811" s="3"/>
    </row>
    <row r="812" ht="15.75" customHeight="1">
      <c r="I812" s="3"/>
    </row>
    <row r="813" ht="15.75" customHeight="1">
      <c r="I813" s="3"/>
    </row>
    <row r="814" ht="15.75" customHeight="1">
      <c r="I814" s="3"/>
    </row>
    <row r="815" ht="15.75" customHeight="1">
      <c r="I815" s="3"/>
    </row>
    <row r="816" ht="15.75" customHeight="1">
      <c r="I816" s="3"/>
    </row>
    <row r="817" ht="15.75" customHeight="1">
      <c r="I817" s="3"/>
    </row>
    <row r="818" ht="15.75" customHeight="1">
      <c r="I818" s="3"/>
    </row>
    <row r="819" ht="15.75" customHeight="1">
      <c r="I819" s="3"/>
    </row>
    <row r="820" ht="15.75" customHeight="1">
      <c r="I820" s="3"/>
    </row>
    <row r="821" ht="15.75" customHeight="1">
      <c r="I821" s="3"/>
    </row>
    <row r="822" ht="15.75" customHeight="1">
      <c r="I822" s="3"/>
    </row>
    <row r="823" ht="15.75" customHeight="1">
      <c r="I823" s="3"/>
    </row>
    <row r="824" ht="15.75" customHeight="1">
      <c r="I824" s="3"/>
    </row>
    <row r="825" ht="15.75" customHeight="1">
      <c r="I825" s="3"/>
    </row>
    <row r="826" ht="15.75" customHeight="1">
      <c r="I826" s="3"/>
    </row>
    <row r="827" ht="15.75" customHeight="1">
      <c r="I827" s="3"/>
    </row>
    <row r="828" ht="15.75" customHeight="1">
      <c r="I828" s="3"/>
    </row>
    <row r="829" ht="15.75" customHeight="1">
      <c r="I829" s="3"/>
    </row>
    <row r="830" ht="15.75" customHeight="1">
      <c r="I830" s="3"/>
    </row>
    <row r="831" ht="15.75" customHeight="1">
      <c r="I831" s="3"/>
    </row>
    <row r="832" ht="15.75" customHeight="1">
      <c r="I832" s="3"/>
    </row>
    <row r="833" ht="15.75" customHeight="1">
      <c r="I833" s="3"/>
    </row>
    <row r="834" ht="15.75" customHeight="1">
      <c r="I834" s="3"/>
    </row>
    <row r="835" ht="15.75" customHeight="1">
      <c r="I835" s="3"/>
    </row>
    <row r="836" ht="15.75" customHeight="1">
      <c r="I836" s="3"/>
    </row>
    <row r="837" ht="15.75" customHeight="1">
      <c r="I837" s="3"/>
    </row>
    <row r="838" ht="15.75" customHeight="1">
      <c r="I838" s="3"/>
    </row>
    <row r="839" ht="15.75" customHeight="1">
      <c r="I839" s="3"/>
    </row>
    <row r="840" ht="15.75" customHeight="1">
      <c r="I840" s="3"/>
    </row>
    <row r="841" ht="15.75" customHeight="1">
      <c r="I841" s="3"/>
    </row>
    <row r="842" ht="15.75" customHeight="1">
      <c r="I842" s="3"/>
    </row>
    <row r="843" ht="15.75" customHeight="1">
      <c r="I843" s="3"/>
    </row>
    <row r="844" ht="15.75" customHeight="1">
      <c r="I844" s="3"/>
    </row>
    <row r="845" ht="15.75" customHeight="1">
      <c r="I845" s="3"/>
    </row>
    <row r="846" ht="15.75" customHeight="1">
      <c r="I846" s="3"/>
    </row>
    <row r="847" ht="15.75" customHeight="1">
      <c r="I847" s="3"/>
    </row>
    <row r="848" ht="15.75" customHeight="1">
      <c r="I848" s="3"/>
    </row>
    <row r="849" ht="15.75" customHeight="1">
      <c r="I849" s="3"/>
    </row>
    <row r="850" ht="15.75" customHeight="1">
      <c r="I850" s="3"/>
    </row>
    <row r="851" ht="15.75" customHeight="1">
      <c r="I851" s="3"/>
    </row>
    <row r="852" ht="15.75" customHeight="1">
      <c r="I852" s="3"/>
    </row>
    <row r="853" ht="15.75" customHeight="1">
      <c r="I853" s="3"/>
    </row>
    <row r="854" ht="15.75" customHeight="1">
      <c r="I854" s="3"/>
    </row>
    <row r="855" ht="15.75" customHeight="1">
      <c r="I855" s="3"/>
    </row>
    <row r="856" ht="15.75" customHeight="1">
      <c r="I856" s="3"/>
    </row>
    <row r="857" ht="15.75" customHeight="1">
      <c r="I857" s="3"/>
    </row>
    <row r="858" ht="15.75" customHeight="1">
      <c r="I858" s="3"/>
    </row>
    <row r="859" ht="15.75" customHeight="1">
      <c r="I859" s="3"/>
    </row>
    <row r="860" ht="15.75" customHeight="1">
      <c r="I860" s="3"/>
    </row>
    <row r="861" ht="15.75" customHeight="1">
      <c r="I861" s="3"/>
    </row>
    <row r="862" ht="15.75" customHeight="1">
      <c r="I862" s="3"/>
    </row>
    <row r="863" ht="15.75" customHeight="1">
      <c r="I863" s="3"/>
    </row>
    <row r="864" ht="15.75" customHeight="1">
      <c r="I864" s="3"/>
    </row>
    <row r="865" ht="15.75" customHeight="1">
      <c r="I865" s="3"/>
    </row>
    <row r="866" ht="15.75" customHeight="1">
      <c r="I866" s="3"/>
    </row>
    <row r="867" ht="15.75" customHeight="1">
      <c r="I867" s="3"/>
    </row>
    <row r="868" ht="15.75" customHeight="1">
      <c r="I868" s="3"/>
    </row>
    <row r="869" ht="15.75" customHeight="1">
      <c r="I869" s="3"/>
    </row>
    <row r="870" ht="15.75" customHeight="1">
      <c r="I870" s="3"/>
    </row>
    <row r="871" ht="15.75" customHeight="1">
      <c r="I871" s="3"/>
    </row>
    <row r="872" ht="15.75" customHeight="1">
      <c r="I872" s="3"/>
    </row>
    <row r="873" ht="15.75" customHeight="1">
      <c r="I873" s="3"/>
    </row>
    <row r="874" ht="15.75" customHeight="1">
      <c r="I874" s="3"/>
    </row>
    <row r="875" ht="15.75" customHeight="1">
      <c r="I875" s="3"/>
    </row>
    <row r="876" ht="15.75" customHeight="1">
      <c r="I876" s="3"/>
    </row>
    <row r="877" ht="15.75" customHeight="1">
      <c r="I877" s="3"/>
    </row>
    <row r="878" ht="15.75" customHeight="1">
      <c r="I878" s="3"/>
    </row>
    <row r="879" ht="15.75" customHeight="1">
      <c r="I879" s="3"/>
    </row>
    <row r="880" ht="15.75" customHeight="1">
      <c r="I880" s="3"/>
    </row>
    <row r="881" ht="15.75" customHeight="1">
      <c r="I881" s="3"/>
    </row>
    <row r="882" ht="15.75" customHeight="1">
      <c r="I882" s="3"/>
    </row>
    <row r="883" ht="15.75" customHeight="1">
      <c r="I883" s="3"/>
    </row>
    <row r="884" ht="15.75" customHeight="1">
      <c r="I884" s="3"/>
    </row>
    <row r="885" ht="15.75" customHeight="1">
      <c r="I885" s="3"/>
    </row>
    <row r="886" ht="15.75" customHeight="1">
      <c r="I886" s="3"/>
    </row>
    <row r="887" ht="15.75" customHeight="1">
      <c r="I887" s="3"/>
    </row>
    <row r="888" ht="15.75" customHeight="1">
      <c r="I888" s="3"/>
    </row>
    <row r="889" ht="15.75" customHeight="1">
      <c r="I889" s="3"/>
    </row>
    <row r="890" ht="15.75" customHeight="1">
      <c r="I890" s="3"/>
    </row>
    <row r="891" ht="15.75" customHeight="1">
      <c r="I891" s="3"/>
    </row>
    <row r="892" ht="15.75" customHeight="1">
      <c r="I892" s="3"/>
    </row>
    <row r="893" ht="15.75" customHeight="1">
      <c r="I893" s="3"/>
    </row>
    <row r="894" ht="15.75" customHeight="1">
      <c r="I894" s="3"/>
    </row>
    <row r="895" ht="15.75" customHeight="1">
      <c r="I895" s="3"/>
    </row>
    <row r="896" ht="15.75" customHeight="1">
      <c r="I896" s="3"/>
    </row>
    <row r="897" ht="15.75" customHeight="1">
      <c r="I897" s="3"/>
    </row>
    <row r="898" ht="15.75" customHeight="1">
      <c r="I898" s="3"/>
    </row>
    <row r="899" ht="15.75" customHeight="1">
      <c r="I899" s="3"/>
    </row>
    <row r="900" ht="15.75" customHeight="1">
      <c r="I900" s="3"/>
    </row>
    <row r="901" ht="15.75" customHeight="1">
      <c r="I901" s="3"/>
    </row>
    <row r="902" ht="15.75" customHeight="1">
      <c r="I902" s="3"/>
    </row>
    <row r="903" ht="15.75" customHeight="1">
      <c r="I903" s="3"/>
    </row>
    <row r="904" ht="15.75" customHeight="1">
      <c r="I904" s="3"/>
    </row>
    <row r="905" ht="15.75" customHeight="1">
      <c r="I905" s="3"/>
    </row>
    <row r="906" ht="15.75" customHeight="1">
      <c r="I906" s="3"/>
    </row>
    <row r="907" ht="15.75" customHeight="1">
      <c r="I907" s="3"/>
    </row>
    <row r="908" ht="15.75" customHeight="1">
      <c r="I908" s="3"/>
    </row>
    <row r="909" ht="15.75" customHeight="1">
      <c r="I909" s="3"/>
    </row>
    <row r="910" ht="15.75" customHeight="1">
      <c r="I910" s="3"/>
    </row>
    <row r="911" ht="15.75" customHeight="1">
      <c r="I911" s="3"/>
    </row>
    <row r="912" ht="15.75" customHeight="1">
      <c r="I912" s="3"/>
    </row>
    <row r="913" ht="15.75" customHeight="1">
      <c r="I913" s="3"/>
    </row>
    <row r="914" ht="15.75" customHeight="1">
      <c r="I914" s="3"/>
    </row>
    <row r="915" ht="15.75" customHeight="1">
      <c r="I915" s="3"/>
    </row>
    <row r="916" ht="15.75" customHeight="1">
      <c r="I916" s="3"/>
    </row>
    <row r="917" ht="15.75" customHeight="1">
      <c r="I917" s="3"/>
    </row>
    <row r="918" ht="15.75" customHeight="1">
      <c r="I918" s="3"/>
    </row>
    <row r="919" ht="15.75" customHeight="1">
      <c r="I919" s="3"/>
    </row>
    <row r="920" ht="15.75" customHeight="1">
      <c r="I920" s="3"/>
    </row>
    <row r="921" ht="15.75" customHeight="1">
      <c r="I921" s="3"/>
    </row>
    <row r="922" ht="15.75" customHeight="1">
      <c r="I922" s="3"/>
    </row>
    <row r="923" ht="15.75" customHeight="1">
      <c r="I923" s="3"/>
    </row>
    <row r="924" ht="15.75" customHeight="1">
      <c r="I924" s="3"/>
    </row>
    <row r="925" ht="15.75" customHeight="1">
      <c r="I925" s="3"/>
    </row>
    <row r="926" ht="15.75" customHeight="1">
      <c r="I926" s="3"/>
    </row>
    <row r="927" ht="15.75" customHeight="1">
      <c r="I927" s="3"/>
    </row>
    <row r="928" ht="15.75" customHeight="1">
      <c r="I928" s="3"/>
    </row>
    <row r="929" ht="15.75" customHeight="1">
      <c r="I929" s="3"/>
    </row>
    <row r="930" ht="15.75" customHeight="1">
      <c r="I930" s="3"/>
    </row>
    <row r="931" ht="15.75" customHeight="1">
      <c r="I931" s="3"/>
    </row>
    <row r="932" ht="15.75" customHeight="1">
      <c r="I932" s="3"/>
    </row>
    <row r="933" ht="15.75" customHeight="1">
      <c r="I933" s="3"/>
    </row>
    <row r="934" ht="15.75" customHeight="1">
      <c r="I934" s="3"/>
    </row>
    <row r="935" ht="15.75" customHeight="1">
      <c r="I935" s="3"/>
    </row>
    <row r="936" ht="15.75" customHeight="1">
      <c r="I936" s="3"/>
    </row>
    <row r="937" ht="15.75" customHeight="1">
      <c r="I937" s="3"/>
    </row>
    <row r="938" ht="15.75" customHeight="1">
      <c r="I938" s="3"/>
    </row>
    <row r="939" ht="15.75" customHeight="1">
      <c r="I939" s="3"/>
    </row>
    <row r="940" ht="15.75" customHeight="1">
      <c r="I940" s="3"/>
    </row>
    <row r="941" ht="15.75" customHeight="1">
      <c r="I941" s="3"/>
    </row>
    <row r="942" ht="15.75" customHeight="1">
      <c r="I942" s="3"/>
    </row>
    <row r="943" ht="15.75" customHeight="1">
      <c r="I943" s="3"/>
    </row>
    <row r="944" ht="15.75" customHeight="1">
      <c r="I944" s="3"/>
    </row>
    <row r="945" ht="15.75" customHeight="1">
      <c r="I945" s="3"/>
    </row>
    <row r="946" ht="15.75" customHeight="1">
      <c r="I946" s="3"/>
    </row>
    <row r="947" ht="15.75" customHeight="1">
      <c r="I947" s="3"/>
    </row>
    <row r="948" ht="15.75" customHeight="1">
      <c r="I948" s="3"/>
    </row>
    <row r="949" ht="15.75" customHeight="1">
      <c r="I949" s="3"/>
    </row>
    <row r="950" ht="15.75" customHeight="1">
      <c r="I950" s="3"/>
    </row>
    <row r="951" ht="15.75" customHeight="1">
      <c r="I951" s="3"/>
    </row>
    <row r="952" ht="15.75" customHeight="1">
      <c r="I952" s="3"/>
    </row>
    <row r="953" ht="15.75" customHeight="1">
      <c r="I953" s="3"/>
    </row>
    <row r="954" ht="15.75" customHeight="1">
      <c r="I954" s="3"/>
    </row>
    <row r="955" ht="15.75" customHeight="1">
      <c r="I955" s="3"/>
    </row>
    <row r="956" ht="15.75" customHeight="1">
      <c r="I956" s="3"/>
    </row>
    <row r="957" ht="15.75" customHeight="1">
      <c r="I957" s="3"/>
    </row>
    <row r="958" ht="15.75" customHeight="1">
      <c r="I958" s="3"/>
    </row>
    <row r="959" ht="15.75" customHeight="1">
      <c r="I959" s="3"/>
    </row>
    <row r="960" ht="15.75" customHeight="1">
      <c r="I960" s="3"/>
    </row>
    <row r="961" ht="15.75" customHeight="1">
      <c r="I961" s="3"/>
    </row>
    <row r="962" ht="15.75" customHeight="1">
      <c r="I962" s="3"/>
    </row>
    <row r="963" ht="15.75" customHeight="1">
      <c r="I963" s="3"/>
    </row>
    <row r="964" ht="15.75" customHeight="1">
      <c r="I964" s="3"/>
    </row>
    <row r="965" ht="15.75" customHeight="1">
      <c r="I965" s="3"/>
    </row>
    <row r="966" ht="15.75" customHeight="1">
      <c r="I966" s="3"/>
    </row>
    <row r="967" ht="15.75" customHeight="1">
      <c r="I967" s="3"/>
    </row>
    <row r="968" ht="15.75" customHeight="1">
      <c r="I968" s="3"/>
    </row>
    <row r="969" ht="15.75" customHeight="1">
      <c r="I969" s="3"/>
    </row>
    <row r="970" ht="15.75" customHeight="1">
      <c r="I970" s="3"/>
    </row>
    <row r="971" ht="15.75" customHeight="1">
      <c r="I971" s="3"/>
    </row>
    <row r="972" ht="15.75" customHeight="1">
      <c r="I972" s="3"/>
    </row>
    <row r="973" ht="15.75" customHeight="1">
      <c r="I973" s="3"/>
    </row>
    <row r="974" ht="15.75" customHeight="1">
      <c r="I974" s="3"/>
    </row>
    <row r="975" ht="15.75" customHeight="1">
      <c r="I975" s="3"/>
    </row>
    <row r="976" ht="15.75" customHeight="1">
      <c r="I976" s="3"/>
    </row>
    <row r="977" ht="15.75" customHeight="1">
      <c r="I977" s="3"/>
    </row>
    <row r="978" ht="15.75" customHeight="1">
      <c r="I978" s="3"/>
    </row>
    <row r="979" ht="15.75" customHeight="1">
      <c r="I979" s="3"/>
    </row>
    <row r="980" ht="15.75" customHeight="1">
      <c r="I980" s="3"/>
    </row>
    <row r="981" ht="15.75" customHeight="1">
      <c r="I981" s="3"/>
    </row>
    <row r="982" ht="15.75" customHeight="1">
      <c r="I982" s="3"/>
    </row>
    <row r="983" ht="15.75" customHeight="1">
      <c r="I983" s="3"/>
    </row>
    <row r="984" ht="15.75" customHeight="1">
      <c r="I984" s="3"/>
    </row>
    <row r="985" ht="15.75" customHeight="1">
      <c r="I985" s="3"/>
    </row>
    <row r="986" ht="15.75" customHeight="1">
      <c r="I986" s="3"/>
    </row>
    <row r="987" ht="15.75" customHeight="1">
      <c r="I987" s="3"/>
    </row>
    <row r="988" ht="15.75" customHeight="1">
      <c r="I988" s="3"/>
    </row>
    <row r="989" ht="15.75" customHeight="1">
      <c r="I989" s="3"/>
    </row>
    <row r="990" ht="15.75" customHeight="1">
      <c r="I990" s="3"/>
    </row>
    <row r="991" ht="15.75" customHeight="1">
      <c r="I991" s="3"/>
    </row>
    <row r="992" ht="15.75" customHeight="1">
      <c r="I992" s="3"/>
    </row>
    <row r="993" ht="15.75" customHeight="1">
      <c r="I993" s="3"/>
    </row>
    <row r="994" ht="15.75" customHeight="1">
      <c r="I994" s="3"/>
    </row>
    <row r="995" ht="15.75" customHeight="1">
      <c r="I995" s="3"/>
    </row>
    <row r="996" ht="15.75" customHeight="1">
      <c r="I996" s="3"/>
    </row>
    <row r="997" ht="15.75" customHeight="1">
      <c r="I997" s="3"/>
    </row>
    <row r="998" ht="15.75" customHeight="1">
      <c r="I998" s="3"/>
    </row>
    <row r="999" ht="15.75" customHeight="1">
      <c r="I999" s="3"/>
    </row>
    <row r="1000" ht="15.75" customHeight="1">
      <c r="I1000" s="3"/>
    </row>
  </sheetData>
  <autoFilter ref="$A$1:$D$413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10.75"/>
    <col customWidth="1" hidden="1" min="3" max="4" width="7.75"/>
    <col customWidth="1" min="5" max="5" width="26.25"/>
    <col customWidth="1" min="6" max="6" width="21.75"/>
    <col customWidth="1" hidden="1" min="7" max="7" width="9.63"/>
    <col customWidth="1" min="8" max="8" width="12.63"/>
    <col customWidth="1" min="9" max="9" width="45.88"/>
    <col customWidth="1" min="10" max="10" width="26.25"/>
    <col customWidth="1" min="11" max="11" width="26.0"/>
    <col customWidth="1" min="12" max="12" width="17.88"/>
    <col customWidth="1" min="13" max="13" width="10.75"/>
    <col customWidth="1" min="14" max="26" width="26.25"/>
  </cols>
  <sheetData>
    <row r="1">
      <c r="A1" s="4" t="s">
        <v>22</v>
      </c>
      <c r="B1" s="15" t="s">
        <v>23</v>
      </c>
      <c r="C1" s="15" t="s">
        <v>24</v>
      </c>
      <c r="D1" s="15"/>
      <c r="E1" s="15" t="s">
        <v>25</v>
      </c>
      <c r="F1" s="15" t="s">
        <v>26</v>
      </c>
      <c r="G1" s="15" t="s">
        <v>27</v>
      </c>
      <c r="H1" s="16" t="s">
        <v>6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  <c r="N1" s="15" t="s">
        <v>33</v>
      </c>
      <c r="O1" s="15" t="s">
        <v>34</v>
      </c>
      <c r="P1" s="15" t="s">
        <v>35</v>
      </c>
    </row>
    <row r="2" ht="60.0" customHeight="1">
      <c r="A2" s="22" t="s">
        <v>168</v>
      </c>
      <c r="B2" s="20" t="s">
        <v>131</v>
      </c>
      <c r="C2" s="20" t="s">
        <v>55</v>
      </c>
      <c r="D2" s="20"/>
      <c r="E2" s="20" t="s">
        <v>352</v>
      </c>
      <c r="F2" s="20" t="s">
        <v>353</v>
      </c>
      <c r="G2" s="20" t="s">
        <v>354</v>
      </c>
      <c r="H2" s="21">
        <v>137.79</v>
      </c>
      <c r="I2" s="20" t="s">
        <v>355</v>
      </c>
      <c r="J2" s="20" t="s">
        <v>352</v>
      </c>
      <c r="K2" s="20" t="s">
        <v>356</v>
      </c>
      <c r="L2" s="20" t="s">
        <v>357</v>
      </c>
      <c r="M2" s="20" t="s">
        <v>358</v>
      </c>
      <c r="N2" s="20" t="s">
        <v>45</v>
      </c>
      <c r="O2" s="20" t="s">
        <v>359</v>
      </c>
      <c r="P2" s="20" t="s">
        <v>90</v>
      </c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60.0" hidden="1" customHeight="1">
      <c r="A3" s="4" t="s">
        <v>506</v>
      </c>
      <c r="B3" s="20" t="s">
        <v>233</v>
      </c>
      <c r="C3" s="20" t="s">
        <v>55</v>
      </c>
      <c r="D3" s="20"/>
      <c r="E3" s="20" t="s">
        <v>528</v>
      </c>
      <c r="F3" s="20" t="s">
        <v>353</v>
      </c>
      <c r="G3" s="20" t="s">
        <v>354</v>
      </c>
      <c r="H3" s="21">
        <v>7.9</v>
      </c>
      <c r="I3" s="20" t="s">
        <v>529</v>
      </c>
      <c r="J3" s="20" t="s">
        <v>528</v>
      </c>
      <c r="K3" s="20" t="s">
        <v>530</v>
      </c>
      <c r="L3" s="20" t="s">
        <v>531</v>
      </c>
      <c r="M3" s="20" t="s">
        <v>532</v>
      </c>
      <c r="N3" s="20" t="s">
        <v>45</v>
      </c>
      <c r="O3" s="20" t="s">
        <v>533</v>
      </c>
      <c r="P3" s="20" t="s">
        <v>534</v>
      </c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60.0" hidden="1" customHeight="1">
      <c r="A4" s="4" t="s">
        <v>506</v>
      </c>
      <c r="B4" s="17" t="s">
        <v>115</v>
      </c>
      <c r="C4" s="17" t="s">
        <v>55</v>
      </c>
      <c r="D4" s="17"/>
      <c r="E4" s="17" t="s">
        <v>554</v>
      </c>
      <c r="F4" s="17" t="s">
        <v>353</v>
      </c>
      <c r="G4" s="17" t="s">
        <v>354</v>
      </c>
      <c r="H4" s="18">
        <v>23.59</v>
      </c>
      <c r="I4" s="17" t="s">
        <v>696</v>
      </c>
      <c r="J4" s="17" t="s">
        <v>554</v>
      </c>
      <c r="K4" s="17" t="s">
        <v>188</v>
      </c>
      <c r="L4" s="17" t="s">
        <v>189</v>
      </c>
      <c r="M4" s="17" t="s">
        <v>190</v>
      </c>
      <c r="N4" s="17" t="s">
        <v>45</v>
      </c>
      <c r="O4" s="17" t="s">
        <v>697</v>
      </c>
      <c r="P4" s="17" t="s">
        <v>64</v>
      </c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60.0" hidden="1" customHeight="1">
      <c r="A5" s="4" t="s">
        <v>506</v>
      </c>
      <c r="B5" s="20" t="s">
        <v>83</v>
      </c>
      <c r="C5" s="20" t="s">
        <v>55</v>
      </c>
      <c r="D5" s="20"/>
      <c r="E5" s="20" t="s">
        <v>554</v>
      </c>
      <c r="F5" s="20" t="s">
        <v>353</v>
      </c>
      <c r="G5" s="20" t="s">
        <v>354</v>
      </c>
      <c r="H5" s="21">
        <v>24.03</v>
      </c>
      <c r="I5" s="20" t="s">
        <v>698</v>
      </c>
      <c r="J5" s="20" t="s">
        <v>554</v>
      </c>
      <c r="K5" s="20" t="s">
        <v>188</v>
      </c>
      <c r="L5" s="20" t="s">
        <v>189</v>
      </c>
      <c r="M5" s="20" t="s">
        <v>190</v>
      </c>
      <c r="N5" s="20" t="s">
        <v>45</v>
      </c>
      <c r="O5" s="20" t="s">
        <v>699</v>
      </c>
      <c r="P5" s="20" t="s">
        <v>64</v>
      </c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60.0" hidden="1" customHeight="1">
      <c r="A6" s="4" t="s">
        <v>506</v>
      </c>
      <c r="B6" s="20" t="s">
        <v>196</v>
      </c>
      <c r="C6" s="20" t="s">
        <v>55</v>
      </c>
      <c r="D6" s="20"/>
      <c r="E6" s="20" t="s">
        <v>704</v>
      </c>
      <c r="F6" s="20" t="s">
        <v>353</v>
      </c>
      <c r="G6" s="20" t="s">
        <v>354</v>
      </c>
      <c r="H6" s="21">
        <v>25.0</v>
      </c>
      <c r="I6" s="20" t="s">
        <v>705</v>
      </c>
      <c r="J6" s="20" t="s">
        <v>704</v>
      </c>
      <c r="K6" s="20" t="s">
        <v>706</v>
      </c>
      <c r="L6" s="20" t="s">
        <v>707</v>
      </c>
      <c r="M6" s="20" t="s">
        <v>708</v>
      </c>
      <c r="N6" s="20" t="s">
        <v>45</v>
      </c>
      <c r="O6" s="20" t="s">
        <v>709</v>
      </c>
      <c r="P6" s="20" t="s">
        <v>64</v>
      </c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60.0" hidden="1" customHeight="1">
      <c r="A7" s="4" t="s">
        <v>710</v>
      </c>
      <c r="B7" s="20" t="s">
        <v>196</v>
      </c>
      <c r="C7" s="20" t="s">
        <v>55</v>
      </c>
      <c r="D7" s="20"/>
      <c r="E7" s="20" t="s">
        <v>554</v>
      </c>
      <c r="F7" s="20" t="s">
        <v>353</v>
      </c>
      <c r="G7" s="20" t="s">
        <v>354</v>
      </c>
      <c r="H7" s="21">
        <v>25.22</v>
      </c>
      <c r="I7" s="20" t="s">
        <v>711</v>
      </c>
      <c r="J7" s="20" t="s">
        <v>554</v>
      </c>
      <c r="K7" s="20" t="s">
        <v>188</v>
      </c>
      <c r="L7" s="20" t="s">
        <v>189</v>
      </c>
      <c r="M7" s="20" t="s">
        <v>190</v>
      </c>
      <c r="N7" s="20" t="s">
        <v>45</v>
      </c>
      <c r="O7" s="20" t="s">
        <v>712</v>
      </c>
      <c r="P7" s="20" t="s">
        <v>64</v>
      </c>
    </row>
    <row r="8" ht="60.0" hidden="1" customHeight="1">
      <c r="A8" s="4" t="s">
        <v>710</v>
      </c>
      <c r="B8" s="17" t="s">
        <v>367</v>
      </c>
      <c r="C8" s="17" t="s">
        <v>55</v>
      </c>
      <c r="D8" s="17"/>
      <c r="E8" s="17" t="s">
        <v>554</v>
      </c>
      <c r="F8" s="17" t="s">
        <v>353</v>
      </c>
      <c r="G8" s="17" t="s">
        <v>354</v>
      </c>
      <c r="H8" s="18">
        <v>25.35</v>
      </c>
      <c r="I8" s="17" t="s">
        <v>713</v>
      </c>
      <c r="J8" s="17" t="s">
        <v>554</v>
      </c>
      <c r="K8" s="17" t="s">
        <v>188</v>
      </c>
      <c r="L8" s="17" t="s">
        <v>189</v>
      </c>
      <c r="M8" s="17" t="s">
        <v>190</v>
      </c>
      <c r="N8" s="17" t="s">
        <v>45</v>
      </c>
      <c r="O8" s="17" t="s">
        <v>714</v>
      </c>
      <c r="P8" s="17" t="s">
        <v>64</v>
      </c>
    </row>
    <row r="9" ht="60.0" hidden="1" customHeight="1">
      <c r="A9" s="4" t="s">
        <v>710</v>
      </c>
      <c r="B9" s="17" t="s">
        <v>37</v>
      </c>
      <c r="C9" s="17" t="s">
        <v>55</v>
      </c>
      <c r="D9" s="17"/>
      <c r="E9" s="17" t="s">
        <v>554</v>
      </c>
      <c r="F9" s="17" t="s">
        <v>353</v>
      </c>
      <c r="G9" s="17" t="s">
        <v>354</v>
      </c>
      <c r="H9" s="18">
        <v>27.21</v>
      </c>
      <c r="I9" s="17" t="s">
        <v>729</v>
      </c>
      <c r="J9" s="17" t="s">
        <v>554</v>
      </c>
      <c r="K9" s="17" t="s">
        <v>188</v>
      </c>
      <c r="L9" s="17" t="s">
        <v>189</v>
      </c>
      <c r="M9" s="17" t="s">
        <v>190</v>
      </c>
      <c r="N9" s="17" t="s">
        <v>45</v>
      </c>
      <c r="O9" s="17" t="s">
        <v>730</v>
      </c>
      <c r="P9" s="17" t="s">
        <v>64</v>
      </c>
    </row>
    <row r="10" ht="60.0" hidden="1" customHeight="1">
      <c r="A10" s="4" t="s">
        <v>710</v>
      </c>
      <c r="B10" s="20" t="s">
        <v>91</v>
      </c>
      <c r="C10" s="20" t="s">
        <v>55</v>
      </c>
      <c r="D10" s="20"/>
      <c r="E10" s="20" t="s">
        <v>554</v>
      </c>
      <c r="F10" s="20" t="s">
        <v>353</v>
      </c>
      <c r="G10" s="20" t="s">
        <v>354</v>
      </c>
      <c r="H10" s="21">
        <v>28.34</v>
      </c>
      <c r="I10" s="20" t="s">
        <v>739</v>
      </c>
      <c r="J10" s="20" t="s">
        <v>554</v>
      </c>
      <c r="K10" s="20" t="s">
        <v>188</v>
      </c>
      <c r="L10" s="20" t="s">
        <v>189</v>
      </c>
      <c r="M10" s="20" t="s">
        <v>190</v>
      </c>
      <c r="N10" s="20" t="s">
        <v>45</v>
      </c>
      <c r="O10" s="20" t="s">
        <v>740</v>
      </c>
      <c r="P10" s="20" t="s">
        <v>64</v>
      </c>
    </row>
    <row r="11" ht="60.0" hidden="1" customHeight="1">
      <c r="A11" s="4" t="s">
        <v>710</v>
      </c>
      <c r="B11" s="17" t="s">
        <v>108</v>
      </c>
      <c r="C11" s="17" t="s">
        <v>55</v>
      </c>
      <c r="D11" s="17"/>
      <c r="E11" s="17" t="s">
        <v>554</v>
      </c>
      <c r="F11" s="17" t="s">
        <v>353</v>
      </c>
      <c r="G11" s="17" t="s">
        <v>354</v>
      </c>
      <c r="H11" s="18">
        <v>34.69</v>
      </c>
      <c r="I11" s="17" t="s">
        <v>789</v>
      </c>
      <c r="J11" s="17" t="s">
        <v>554</v>
      </c>
      <c r="K11" s="17" t="s">
        <v>188</v>
      </c>
      <c r="L11" s="17" t="s">
        <v>189</v>
      </c>
      <c r="M11" s="17" t="s">
        <v>190</v>
      </c>
      <c r="N11" s="17" t="s">
        <v>45</v>
      </c>
      <c r="O11" s="17" t="s">
        <v>790</v>
      </c>
      <c r="P11" s="17" t="s">
        <v>64</v>
      </c>
    </row>
    <row r="12" ht="60.0" hidden="1" customHeight="1">
      <c r="A12" s="22" t="s">
        <v>506</v>
      </c>
      <c r="B12" s="20" t="s">
        <v>262</v>
      </c>
      <c r="C12" s="20" t="s">
        <v>55</v>
      </c>
      <c r="D12" s="20"/>
      <c r="E12" s="20" t="s">
        <v>157</v>
      </c>
      <c r="F12" s="20" t="s">
        <v>353</v>
      </c>
      <c r="G12" s="20" t="s">
        <v>354</v>
      </c>
      <c r="H12" s="21">
        <v>47.68</v>
      </c>
      <c r="I12" s="20" t="s">
        <v>855</v>
      </c>
      <c r="J12" s="20" t="s">
        <v>159</v>
      </c>
      <c r="K12" s="20" t="s">
        <v>86</v>
      </c>
      <c r="L12" s="20" t="s">
        <v>87</v>
      </c>
      <c r="M12" s="20" t="s">
        <v>88</v>
      </c>
      <c r="N12" s="20" t="s">
        <v>45</v>
      </c>
      <c r="O12" s="20" t="s">
        <v>856</v>
      </c>
      <c r="P12" s="20" t="s">
        <v>90</v>
      </c>
    </row>
    <row r="13" ht="60.0" hidden="1" customHeight="1">
      <c r="A13" s="4" t="s">
        <v>506</v>
      </c>
      <c r="B13" s="17" t="s">
        <v>91</v>
      </c>
      <c r="C13" s="17" t="s">
        <v>55</v>
      </c>
      <c r="D13" s="17"/>
      <c r="E13" s="17" t="s">
        <v>554</v>
      </c>
      <c r="F13" s="17" t="s">
        <v>353</v>
      </c>
      <c r="G13" s="17" t="s">
        <v>354</v>
      </c>
      <c r="H13" s="18">
        <v>48.54</v>
      </c>
      <c r="I13" s="17" t="s">
        <v>857</v>
      </c>
      <c r="J13" s="17" t="s">
        <v>554</v>
      </c>
      <c r="K13" s="17" t="s">
        <v>188</v>
      </c>
      <c r="L13" s="17" t="s">
        <v>189</v>
      </c>
      <c r="M13" s="17" t="s">
        <v>190</v>
      </c>
      <c r="N13" s="17" t="s">
        <v>45</v>
      </c>
      <c r="O13" s="17" t="s">
        <v>858</v>
      </c>
      <c r="P13" s="17" t="s">
        <v>64</v>
      </c>
    </row>
    <row r="14" ht="60.0" hidden="1" customHeight="1">
      <c r="A14" s="4" t="s">
        <v>506</v>
      </c>
      <c r="B14" s="20" t="s">
        <v>276</v>
      </c>
      <c r="C14" s="20" t="s">
        <v>55</v>
      </c>
      <c r="D14" s="20"/>
      <c r="E14" s="20" t="s">
        <v>946</v>
      </c>
      <c r="F14" s="20" t="s">
        <v>353</v>
      </c>
      <c r="G14" s="20" t="s">
        <v>354</v>
      </c>
      <c r="H14" s="21">
        <v>70.53</v>
      </c>
      <c r="I14" s="20" t="s">
        <v>962</v>
      </c>
      <c r="J14" s="20" t="s">
        <v>946</v>
      </c>
      <c r="K14" s="20" t="s">
        <v>948</v>
      </c>
      <c r="L14" s="20" t="s">
        <v>949</v>
      </c>
      <c r="M14" s="20" t="s">
        <v>950</v>
      </c>
      <c r="N14" s="20" t="s">
        <v>45</v>
      </c>
      <c r="O14" s="20" t="s">
        <v>963</v>
      </c>
      <c r="P14" s="20" t="s">
        <v>64</v>
      </c>
    </row>
    <row r="15" ht="60.0" hidden="1" customHeight="1">
      <c r="A15" s="4" t="s">
        <v>710</v>
      </c>
      <c r="B15" s="17" t="s">
        <v>65</v>
      </c>
      <c r="C15" s="17" t="s">
        <v>55</v>
      </c>
      <c r="D15" s="17"/>
      <c r="E15" s="17" t="s">
        <v>1005</v>
      </c>
      <c r="F15" s="17" t="s">
        <v>353</v>
      </c>
      <c r="G15" s="17" t="s">
        <v>354</v>
      </c>
      <c r="H15" s="18">
        <v>85.56</v>
      </c>
      <c r="I15" s="17" t="s">
        <v>1006</v>
      </c>
      <c r="J15" s="17" t="s">
        <v>1005</v>
      </c>
      <c r="K15" s="17" t="s">
        <v>1007</v>
      </c>
      <c r="L15" s="17" t="s">
        <v>1008</v>
      </c>
      <c r="M15" s="17" t="s">
        <v>1009</v>
      </c>
      <c r="N15" s="17" t="s">
        <v>45</v>
      </c>
      <c r="O15" s="17" t="s">
        <v>1010</v>
      </c>
      <c r="P15" s="17" t="s">
        <v>182</v>
      </c>
    </row>
    <row r="16" ht="60.0" hidden="1" customHeight="1">
      <c r="A16" s="4" t="s">
        <v>506</v>
      </c>
      <c r="B16" s="17" t="s">
        <v>83</v>
      </c>
      <c r="C16" s="17" t="s">
        <v>55</v>
      </c>
      <c r="D16" s="17"/>
      <c r="E16" s="17" t="s">
        <v>554</v>
      </c>
      <c r="F16" s="17" t="s">
        <v>353</v>
      </c>
      <c r="G16" s="17" t="s">
        <v>354</v>
      </c>
      <c r="H16" s="18">
        <v>100.0</v>
      </c>
      <c r="I16" s="17" t="s">
        <v>1047</v>
      </c>
      <c r="J16" s="17" t="s">
        <v>554</v>
      </c>
      <c r="K16" s="17" t="s">
        <v>188</v>
      </c>
      <c r="L16" s="17" t="s">
        <v>189</v>
      </c>
      <c r="M16" s="17" t="s">
        <v>190</v>
      </c>
      <c r="N16" s="17" t="s">
        <v>45</v>
      </c>
      <c r="O16" s="17" t="s">
        <v>1048</v>
      </c>
      <c r="P16" s="17" t="s">
        <v>64</v>
      </c>
    </row>
    <row r="17" ht="60.0" hidden="1" customHeight="1">
      <c r="A17" s="4" t="s">
        <v>506</v>
      </c>
      <c r="B17" s="20" t="s">
        <v>183</v>
      </c>
      <c r="C17" s="20" t="s">
        <v>55</v>
      </c>
      <c r="D17" s="20"/>
      <c r="E17" s="20" t="s">
        <v>554</v>
      </c>
      <c r="F17" s="20" t="s">
        <v>353</v>
      </c>
      <c r="G17" s="20" t="s">
        <v>354</v>
      </c>
      <c r="H17" s="21">
        <v>100.0</v>
      </c>
      <c r="I17" s="20" t="s">
        <v>1049</v>
      </c>
      <c r="J17" s="20" t="s">
        <v>554</v>
      </c>
      <c r="K17" s="20" t="s">
        <v>188</v>
      </c>
      <c r="L17" s="20" t="s">
        <v>189</v>
      </c>
      <c r="M17" s="20" t="s">
        <v>190</v>
      </c>
      <c r="N17" s="20" t="s">
        <v>45</v>
      </c>
      <c r="O17" s="20" t="s">
        <v>1050</v>
      </c>
      <c r="P17" s="20" t="s">
        <v>64</v>
      </c>
    </row>
    <row r="18" ht="60.0" hidden="1" customHeight="1">
      <c r="A18" s="4" t="s">
        <v>506</v>
      </c>
      <c r="B18" s="20" t="s">
        <v>91</v>
      </c>
      <c r="C18" s="20" t="s">
        <v>55</v>
      </c>
      <c r="D18" s="20"/>
      <c r="E18" s="20" t="s">
        <v>554</v>
      </c>
      <c r="F18" s="20" t="s">
        <v>353</v>
      </c>
      <c r="G18" s="20" t="s">
        <v>354</v>
      </c>
      <c r="H18" s="21">
        <v>100.0</v>
      </c>
      <c r="I18" s="20" t="s">
        <v>1051</v>
      </c>
      <c r="J18" s="20" t="s">
        <v>554</v>
      </c>
      <c r="K18" s="20" t="s">
        <v>188</v>
      </c>
      <c r="L18" s="20" t="s">
        <v>189</v>
      </c>
      <c r="M18" s="20" t="s">
        <v>190</v>
      </c>
      <c r="N18" s="20" t="s">
        <v>45</v>
      </c>
      <c r="O18" s="20" t="s">
        <v>1052</v>
      </c>
      <c r="P18" s="20" t="s">
        <v>64</v>
      </c>
    </row>
    <row r="19" ht="60.0" hidden="1" customHeight="1">
      <c r="A19" s="22" t="s">
        <v>506</v>
      </c>
      <c r="B19" s="17" t="s">
        <v>91</v>
      </c>
      <c r="C19" s="17" t="s">
        <v>55</v>
      </c>
      <c r="D19" s="17"/>
      <c r="E19" s="17" t="s">
        <v>554</v>
      </c>
      <c r="F19" s="17" t="s">
        <v>353</v>
      </c>
      <c r="G19" s="17" t="s">
        <v>354</v>
      </c>
      <c r="H19" s="18">
        <v>100.0</v>
      </c>
      <c r="I19" s="17" t="s">
        <v>1053</v>
      </c>
      <c r="J19" s="17" t="s">
        <v>554</v>
      </c>
      <c r="K19" s="17" t="s">
        <v>188</v>
      </c>
      <c r="L19" s="17" t="s">
        <v>189</v>
      </c>
      <c r="M19" s="17" t="s">
        <v>190</v>
      </c>
      <c r="N19" s="17" t="s">
        <v>45</v>
      </c>
      <c r="O19" s="17" t="s">
        <v>1054</v>
      </c>
      <c r="P19" s="17" t="s">
        <v>64</v>
      </c>
    </row>
    <row r="20" ht="60.0" hidden="1" customHeight="1">
      <c r="A20" s="4" t="s">
        <v>506</v>
      </c>
      <c r="B20" s="17" t="s">
        <v>196</v>
      </c>
      <c r="C20" s="17" t="s">
        <v>55</v>
      </c>
      <c r="D20" s="17"/>
      <c r="E20" s="17" t="s">
        <v>554</v>
      </c>
      <c r="F20" s="17" t="s">
        <v>353</v>
      </c>
      <c r="G20" s="17" t="s">
        <v>354</v>
      </c>
      <c r="H20" s="18">
        <v>100.0</v>
      </c>
      <c r="I20" s="17" t="s">
        <v>1055</v>
      </c>
      <c r="J20" s="17" t="s">
        <v>554</v>
      </c>
      <c r="K20" s="17" t="s">
        <v>188</v>
      </c>
      <c r="L20" s="17" t="s">
        <v>189</v>
      </c>
      <c r="M20" s="17" t="s">
        <v>190</v>
      </c>
      <c r="N20" s="17" t="s">
        <v>45</v>
      </c>
      <c r="O20" s="17" t="s">
        <v>1056</v>
      </c>
      <c r="P20" s="17" t="s">
        <v>64</v>
      </c>
    </row>
    <row r="21" ht="60.0" hidden="1" customHeight="1">
      <c r="A21" s="4" t="s">
        <v>506</v>
      </c>
      <c r="B21" s="20" t="s">
        <v>367</v>
      </c>
      <c r="C21" s="20" t="s">
        <v>55</v>
      </c>
      <c r="D21" s="20"/>
      <c r="E21" s="20" t="s">
        <v>554</v>
      </c>
      <c r="F21" s="20" t="s">
        <v>353</v>
      </c>
      <c r="G21" s="20" t="s">
        <v>354</v>
      </c>
      <c r="H21" s="21">
        <v>100.0</v>
      </c>
      <c r="I21" s="20" t="s">
        <v>1057</v>
      </c>
      <c r="J21" s="20" t="s">
        <v>554</v>
      </c>
      <c r="K21" s="20" t="s">
        <v>188</v>
      </c>
      <c r="L21" s="20" t="s">
        <v>189</v>
      </c>
      <c r="M21" s="20" t="s">
        <v>190</v>
      </c>
      <c r="N21" s="20" t="s">
        <v>45</v>
      </c>
      <c r="O21" s="20" t="s">
        <v>1058</v>
      </c>
      <c r="P21" s="20" t="s">
        <v>64</v>
      </c>
    </row>
    <row r="22" ht="60.0" hidden="1" customHeight="1">
      <c r="A22" s="4" t="s">
        <v>506</v>
      </c>
      <c r="B22" s="17" t="s">
        <v>367</v>
      </c>
      <c r="C22" s="17" t="s">
        <v>55</v>
      </c>
      <c r="D22" s="17"/>
      <c r="E22" s="17" t="s">
        <v>554</v>
      </c>
      <c r="F22" s="17" t="s">
        <v>353</v>
      </c>
      <c r="G22" s="17" t="s">
        <v>354</v>
      </c>
      <c r="H22" s="18">
        <v>100.0</v>
      </c>
      <c r="I22" s="17" t="s">
        <v>1059</v>
      </c>
      <c r="J22" s="17" t="s">
        <v>554</v>
      </c>
      <c r="K22" s="17" t="s">
        <v>188</v>
      </c>
      <c r="L22" s="17" t="s">
        <v>189</v>
      </c>
      <c r="M22" s="17" t="s">
        <v>190</v>
      </c>
      <c r="N22" s="17" t="s">
        <v>45</v>
      </c>
      <c r="O22" s="17" t="s">
        <v>1060</v>
      </c>
      <c r="P22" s="17" t="s">
        <v>64</v>
      </c>
    </row>
    <row r="23" ht="60.0" hidden="1" customHeight="1">
      <c r="A23" s="4" t="s">
        <v>710</v>
      </c>
      <c r="B23" s="17" t="s">
        <v>147</v>
      </c>
      <c r="C23" s="17" t="s">
        <v>55</v>
      </c>
      <c r="D23" s="17"/>
      <c r="E23" s="17" t="s">
        <v>557</v>
      </c>
      <c r="F23" s="17" t="s">
        <v>353</v>
      </c>
      <c r="G23" s="17" t="s">
        <v>354</v>
      </c>
      <c r="H23" s="18">
        <v>100.0</v>
      </c>
      <c r="I23" s="17" t="s">
        <v>1061</v>
      </c>
      <c r="J23" s="17" t="s">
        <v>557</v>
      </c>
      <c r="K23" s="17" t="s">
        <v>188</v>
      </c>
      <c r="L23" s="17" t="s">
        <v>189</v>
      </c>
      <c r="M23" s="17" t="s">
        <v>190</v>
      </c>
      <c r="N23" s="17" t="s">
        <v>45</v>
      </c>
      <c r="O23" s="17" t="s">
        <v>1062</v>
      </c>
      <c r="P23" s="17" t="s">
        <v>64</v>
      </c>
    </row>
    <row r="24" ht="60.0" hidden="1" customHeight="1">
      <c r="A24" s="4" t="s">
        <v>710</v>
      </c>
      <c r="B24" s="20" t="s">
        <v>147</v>
      </c>
      <c r="C24" s="20" t="s">
        <v>55</v>
      </c>
      <c r="D24" s="20"/>
      <c r="E24" s="20" t="s">
        <v>557</v>
      </c>
      <c r="F24" s="20" t="s">
        <v>353</v>
      </c>
      <c r="G24" s="20" t="s">
        <v>354</v>
      </c>
      <c r="H24" s="21">
        <v>100.0</v>
      </c>
      <c r="I24" s="20" t="s">
        <v>1063</v>
      </c>
      <c r="J24" s="20" t="s">
        <v>557</v>
      </c>
      <c r="K24" s="20" t="s">
        <v>188</v>
      </c>
      <c r="L24" s="20" t="s">
        <v>189</v>
      </c>
      <c r="M24" s="20" t="s">
        <v>190</v>
      </c>
      <c r="N24" s="20" t="s">
        <v>45</v>
      </c>
      <c r="O24" s="20" t="s">
        <v>1064</v>
      </c>
      <c r="P24" s="20" t="s">
        <v>64</v>
      </c>
    </row>
    <row r="25" ht="60.0" hidden="1" customHeight="1">
      <c r="A25" s="4" t="s">
        <v>710</v>
      </c>
      <c r="B25" s="17" t="s">
        <v>147</v>
      </c>
      <c r="C25" s="17" t="s">
        <v>55</v>
      </c>
      <c r="D25" s="17"/>
      <c r="E25" s="17" t="s">
        <v>557</v>
      </c>
      <c r="F25" s="17" t="s">
        <v>353</v>
      </c>
      <c r="G25" s="17" t="s">
        <v>354</v>
      </c>
      <c r="H25" s="18">
        <v>100.0</v>
      </c>
      <c r="I25" s="17" t="s">
        <v>1065</v>
      </c>
      <c r="J25" s="17" t="s">
        <v>557</v>
      </c>
      <c r="K25" s="17" t="s">
        <v>188</v>
      </c>
      <c r="L25" s="17" t="s">
        <v>189</v>
      </c>
      <c r="M25" s="17" t="s">
        <v>190</v>
      </c>
      <c r="N25" s="17" t="s">
        <v>45</v>
      </c>
      <c r="O25" s="17" t="s">
        <v>1066</v>
      </c>
      <c r="P25" s="17" t="s">
        <v>64</v>
      </c>
    </row>
    <row r="26" ht="60.0" hidden="1" customHeight="1">
      <c r="A26" s="4" t="s">
        <v>506</v>
      </c>
      <c r="B26" s="20" t="s">
        <v>196</v>
      </c>
      <c r="C26" s="20" t="s">
        <v>55</v>
      </c>
      <c r="D26" s="20"/>
      <c r="E26" s="20" t="s">
        <v>554</v>
      </c>
      <c r="F26" s="20" t="s">
        <v>353</v>
      </c>
      <c r="G26" s="20" t="s">
        <v>354</v>
      </c>
      <c r="H26" s="21">
        <v>100.0</v>
      </c>
      <c r="I26" s="20" t="s">
        <v>1067</v>
      </c>
      <c r="J26" s="20" t="s">
        <v>554</v>
      </c>
      <c r="K26" s="20" t="s">
        <v>188</v>
      </c>
      <c r="L26" s="20" t="s">
        <v>189</v>
      </c>
      <c r="M26" s="20" t="s">
        <v>190</v>
      </c>
      <c r="N26" s="20" t="s">
        <v>45</v>
      </c>
      <c r="O26" s="20" t="s">
        <v>1068</v>
      </c>
      <c r="P26" s="20" t="s">
        <v>64</v>
      </c>
    </row>
    <row r="27" ht="60.0" hidden="1" customHeight="1">
      <c r="A27" s="22" t="s">
        <v>710</v>
      </c>
      <c r="B27" s="20" t="s">
        <v>367</v>
      </c>
      <c r="C27" s="20" t="s">
        <v>55</v>
      </c>
      <c r="D27" s="20"/>
      <c r="E27" s="20" t="s">
        <v>1122</v>
      </c>
      <c r="F27" s="20" t="s">
        <v>353</v>
      </c>
      <c r="G27" s="20" t="s">
        <v>354</v>
      </c>
      <c r="H27" s="21">
        <v>142.97</v>
      </c>
      <c r="I27" s="20" t="s">
        <v>1123</v>
      </c>
      <c r="J27" s="20" t="s">
        <v>1122</v>
      </c>
      <c r="K27" s="20" t="s">
        <v>1124</v>
      </c>
      <c r="L27" s="20" t="s">
        <v>305</v>
      </c>
      <c r="M27" s="20" t="s">
        <v>583</v>
      </c>
      <c r="N27" s="20" t="s">
        <v>45</v>
      </c>
      <c r="O27" s="20" t="s">
        <v>1125</v>
      </c>
      <c r="P27" s="20" t="s">
        <v>182</v>
      </c>
    </row>
    <row r="28" ht="60.0" hidden="1" customHeight="1">
      <c r="A28" s="4" t="s">
        <v>710</v>
      </c>
      <c r="B28" s="20" t="s">
        <v>37</v>
      </c>
      <c r="C28" s="20" t="s">
        <v>55</v>
      </c>
      <c r="D28" s="20"/>
      <c r="E28" s="20" t="s">
        <v>1130</v>
      </c>
      <c r="F28" s="20" t="s">
        <v>353</v>
      </c>
      <c r="G28" s="20" t="s">
        <v>354</v>
      </c>
      <c r="H28" s="21">
        <v>148.19</v>
      </c>
      <c r="I28" s="20" t="s">
        <v>1131</v>
      </c>
      <c r="J28" s="20" t="s">
        <v>1130</v>
      </c>
      <c r="K28" s="20" t="s">
        <v>1132</v>
      </c>
      <c r="L28" s="20" t="s">
        <v>1133</v>
      </c>
      <c r="M28" s="20" t="s">
        <v>1134</v>
      </c>
      <c r="N28" s="20" t="s">
        <v>45</v>
      </c>
      <c r="O28" s="20" t="s">
        <v>1135</v>
      </c>
      <c r="P28" s="20" t="s">
        <v>182</v>
      </c>
    </row>
    <row r="29" ht="60.0" hidden="1" customHeight="1">
      <c r="A29" s="4" t="s">
        <v>710</v>
      </c>
      <c r="B29" s="17" t="s">
        <v>131</v>
      </c>
      <c r="C29" s="17" t="s">
        <v>55</v>
      </c>
      <c r="D29" s="17"/>
      <c r="E29" s="17" t="s">
        <v>1177</v>
      </c>
      <c r="F29" s="17" t="s">
        <v>353</v>
      </c>
      <c r="G29" s="17" t="s">
        <v>354</v>
      </c>
      <c r="H29" s="18">
        <v>172.51</v>
      </c>
      <c r="I29" s="17" t="s">
        <v>1178</v>
      </c>
      <c r="J29" s="17" t="s">
        <v>1177</v>
      </c>
      <c r="K29" s="17" t="s">
        <v>1179</v>
      </c>
      <c r="L29" s="17" t="s">
        <v>305</v>
      </c>
      <c r="M29" s="17" t="s">
        <v>583</v>
      </c>
      <c r="N29" s="17" t="s">
        <v>45</v>
      </c>
      <c r="O29" s="17" t="s">
        <v>1180</v>
      </c>
      <c r="P29" s="17" t="s">
        <v>182</v>
      </c>
    </row>
    <row r="30" ht="60.0" hidden="1" customHeight="1">
      <c r="A30" s="4" t="s">
        <v>710</v>
      </c>
      <c r="B30" s="20" t="s">
        <v>239</v>
      </c>
      <c r="C30" s="20" t="s">
        <v>55</v>
      </c>
      <c r="D30" s="20"/>
      <c r="E30" s="20" t="s">
        <v>1193</v>
      </c>
      <c r="F30" s="20" t="s">
        <v>353</v>
      </c>
      <c r="G30" s="20" t="s">
        <v>354</v>
      </c>
      <c r="H30" s="21">
        <v>175.0</v>
      </c>
      <c r="I30" s="20" t="s">
        <v>1194</v>
      </c>
      <c r="J30" s="20" t="s">
        <v>1193</v>
      </c>
      <c r="K30" s="20" t="s">
        <v>537</v>
      </c>
      <c r="L30" s="20" t="s">
        <v>538</v>
      </c>
      <c r="M30" s="20" t="s">
        <v>539</v>
      </c>
      <c r="N30" s="20" t="s">
        <v>45</v>
      </c>
      <c r="O30" s="20" t="s">
        <v>1195</v>
      </c>
      <c r="P30" s="20" t="s">
        <v>64</v>
      </c>
    </row>
    <row r="31" ht="60.0" hidden="1" customHeight="1">
      <c r="A31" s="4" t="s">
        <v>710</v>
      </c>
      <c r="B31" s="17" t="s">
        <v>225</v>
      </c>
      <c r="C31" s="17" t="s">
        <v>55</v>
      </c>
      <c r="D31" s="17"/>
      <c r="E31" s="17" t="s">
        <v>1193</v>
      </c>
      <c r="F31" s="17" t="s">
        <v>353</v>
      </c>
      <c r="G31" s="17" t="s">
        <v>354</v>
      </c>
      <c r="H31" s="18">
        <v>175.0</v>
      </c>
      <c r="I31" s="17" t="s">
        <v>1196</v>
      </c>
      <c r="J31" s="17" t="s">
        <v>1193</v>
      </c>
      <c r="K31" s="17" t="s">
        <v>537</v>
      </c>
      <c r="L31" s="17" t="s">
        <v>538</v>
      </c>
      <c r="M31" s="17" t="s">
        <v>539</v>
      </c>
      <c r="N31" s="17" t="s">
        <v>45</v>
      </c>
      <c r="O31" s="17" t="s">
        <v>1197</v>
      </c>
      <c r="P31" s="17" t="s">
        <v>64</v>
      </c>
    </row>
    <row r="32" ht="60.0" hidden="1" customHeight="1">
      <c r="A32" s="4" t="s">
        <v>710</v>
      </c>
      <c r="B32" s="20" t="s">
        <v>54</v>
      </c>
      <c r="C32" s="20" t="s">
        <v>55</v>
      </c>
      <c r="D32" s="20"/>
      <c r="E32" s="20" t="s">
        <v>1217</v>
      </c>
      <c r="F32" s="20" t="s">
        <v>353</v>
      </c>
      <c r="G32" s="20" t="s">
        <v>354</v>
      </c>
      <c r="H32" s="21">
        <v>200.0</v>
      </c>
      <c r="I32" s="20" t="s">
        <v>1218</v>
      </c>
      <c r="J32" s="20" t="s">
        <v>1217</v>
      </c>
      <c r="K32" s="20" t="s">
        <v>1219</v>
      </c>
      <c r="L32" s="20" t="s">
        <v>1220</v>
      </c>
      <c r="M32" s="20" t="s">
        <v>1221</v>
      </c>
      <c r="N32" s="20" t="s">
        <v>45</v>
      </c>
      <c r="O32" s="20" t="s">
        <v>1222</v>
      </c>
      <c r="P32" s="20" t="s">
        <v>64</v>
      </c>
    </row>
    <row r="33" ht="60.0" hidden="1" customHeight="1">
      <c r="A33" s="4" t="s">
        <v>710</v>
      </c>
      <c r="B33" s="17" t="s">
        <v>54</v>
      </c>
      <c r="C33" s="17" t="s">
        <v>55</v>
      </c>
      <c r="D33" s="17"/>
      <c r="E33" s="17" t="s">
        <v>1223</v>
      </c>
      <c r="F33" s="17" t="s">
        <v>353</v>
      </c>
      <c r="G33" s="17" t="s">
        <v>354</v>
      </c>
      <c r="H33" s="18">
        <v>200.0</v>
      </c>
      <c r="I33" s="17" t="s">
        <v>1224</v>
      </c>
      <c r="J33" s="17" t="s">
        <v>1223</v>
      </c>
      <c r="K33" s="17" t="s">
        <v>1225</v>
      </c>
      <c r="L33" s="17" t="s">
        <v>1226</v>
      </c>
      <c r="M33" s="17" t="s">
        <v>1227</v>
      </c>
      <c r="N33" s="17" t="s">
        <v>45</v>
      </c>
      <c r="O33" s="17" t="s">
        <v>1228</v>
      </c>
      <c r="P33" s="17" t="s">
        <v>64</v>
      </c>
    </row>
    <row r="34" ht="60.0" hidden="1" customHeight="1">
      <c r="A34" s="4" t="s">
        <v>506</v>
      </c>
      <c r="B34" s="20" t="s">
        <v>65</v>
      </c>
      <c r="C34" s="20" t="s">
        <v>55</v>
      </c>
      <c r="D34" s="20"/>
      <c r="E34" s="20" t="s">
        <v>1223</v>
      </c>
      <c r="F34" s="20" t="s">
        <v>353</v>
      </c>
      <c r="G34" s="20" t="s">
        <v>354</v>
      </c>
      <c r="H34" s="21">
        <v>200.0</v>
      </c>
      <c r="I34" s="20" t="s">
        <v>1224</v>
      </c>
      <c r="J34" s="20" t="s">
        <v>1223</v>
      </c>
      <c r="K34" s="20" t="s">
        <v>1225</v>
      </c>
      <c r="L34" s="20" t="s">
        <v>1226</v>
      </c>
      <c r="M34" s="20" t="s">
        <v>1227</v>
      </c>
      <c r="N34" s="20" t="s">
        <v>45</v>
      </c>
      <c r="O34" s="20" t="s">
        <v>1229</v>
      </c>
      <c r="P34" s="20" t="s">
        <v>64</v>
      </c>
    </row>
    <row r="35" ht="60.0" hidden="1" customHeight="1">
      <c r="A35" s="4" t="s">
        <v>710</v>
      </c>
      <c r="B35" s="20" t="s">
        <v>108</v>
      </c>
      <c r="C35" s="20" t="s">
        <v>55</v>
      </c>
      <c r="D35" s="20"/>
      <c r="E35" s="20" t="s">
        <v>554</v>
      </c>
      <c r="F35" s="20" t="s">
        <v>353</v>
      </c>
      <c r="G35" s="20" t="s">
        <v>354</v>
      </c>
      <c r="H35" s="21">
        <v>200.0</v>
      </c>
      <c r="I35" s="20" t="s">
        <v>1230</v>
      </c>
      <c r="J35" s="20" t="s">
        <v>554</v>
      </c>
      <c r="K35" s="20" t="s">
        <v>188</v>
      </c>
      <c r="L35" s="20" t="s">
        <v>189</v>
      </c>
      <c r="M35" s="20" t="s">
        <v>190</v>
      </c>
      <c r="N35" s="20" t="s">
        <v>45</v>
      </c>
      <c r="O35" s="20" t="s">
        <v>1231</v>
      </c>
      <c r="P35" s="20" t="s">
        <v>64</v>
      </c>
    </row>
    <row r="36" ht="60.0" hidden="1" customHeight="1">
      <c r="A36" s="4" t="s">
        <v>710</v>
      </c>
      <c r="B36" s="20" t="s">
        <v>83</v>
      </c>
      <c r="C36" s="20" t="s">
        <v>55</v>
      </c>
      <c r="D36" s="20"/>
      <c r="E36" s="20" t="s">
        <v>704</v>
      </c>
      <c r="F36" s="20" t="s">
        <v>353</v>
      </c>
      <c r="G36" s="20" t="s">
        <v>354</v>
      </c>
      <c r="H36" s="21">
        <v>200.0</v>
      </c>
      <c r="I36" s="20" t="s">
        <v>1232</v>
      </c>
      <c r="J36" s="20" t="s">
        <v>704</v>
      </c>
      <c r="K36" s="20" t="s">
        <v>706</v>
      </c>
      <c r="L36" s="20" t="s">
        <v>707</v>
      </c>
      <c r="M36" s="20" t="s">
        <v>708</v>
      </c>
      <c r="N36" s="20" t="s">
        <v>45</v>
      </c>
      <c r="O36" s="20" t="s">
        <v>1233</v>
      </c>
      <c r="P36" s="20" t="s">
        <v>64</v>
      </c>
    </row>
    <row r="37" ht="60.0" hidden="1" customHeight="1">
      <c r="A37" s="4" t="s">
        <v>710</v>
      </c>
      <c r="B37" s="17" t="s">
        <v>115</v>
      </c>
      <c r="C37" s="17" t="s">
        <v>55</v>
      </c>
      <c r="D37" s="17"/>
      <c r="E37" s="17" t="s">
        <v>1130</v>
      </c>
      <c r="F37" s="17" t="s">
        <v>353</v>
      </c>
      <c r="G37" s="17" t="s">
        <v>354</v>
      </c>
      <c r="H37" s="18">
        <v>222.28</v>
      </c>
      <c r="I37" s="17" t="s">
        <v>1243</v>
      </c>
      <c r="J37" s="17" t="s">
        <v>1130</v>
      </c>
      <c r="K37" s="17" t="s">
        <v>1132</v>
      </c>
      <c r="L37" s="17" t="s">
        <v>1133</v>
      </c>
      <c r="M37" s="17" t="s">
        <v>1134</v>
      </c>
      <c r="N37" s="17" t="s">
        <v>45</v>
      </c>
      <c r="O37" s="17" t="s">
        <v>1244</v>
      </c>
      <c r="P37" s="17" t="s">
        <v>182</v>
      </c>
    </row>
    <row r="38" ht="60.0" hidden="1" customHeight="1">
      <c r="A38" s="22" t="s">
        <v>710</v>
      </c>
      <c r="B38" s="20" t="s">
        <v>115</v>
      </c>
      <c r="C38" s="20" t="s">
        <v>55</v>
      </c>
      <c r="D38" s="20"/>
      <c r="E38" s="20" t="s">
        <v>554</v>
      </c>
      <c r="F38" s="20" t="s">
        <v>353</v>
      </c>
      <c r="G38" s="20" t="s">
        <v>354</v>
      </c>
      <c r="H38" s="21">
        <v>250.0</v>
      </c>
      <c r="I38" s="20" t="s">
        <v>1258</v>
      </c>
      <c r="J38" s="20" t="s">
        <v>554</v>
      </c>
      <c r="K38" s="20" t="s">
        <v>188</v>
      </c>
      <c r="L38" s="20" t="s">
        <v>189</v>
      </c>
      <c r="M38" s="20" t="s">
        <v>190</v>
      </c>
      <c r="N38" s="20" t="s">
        <v>45</v>
      </c>
      <c r="O38" s="20" t="s">
        <v>1259</v>
      </c>
      <c r="P38" s="20" t="s">
        <v>64</v>
      </c>
    </row>
    <row r="39" ht="60.0" hidden="1" customHeight="1">
      <c r="A39" s="4" t="s">
        <v>506</v>
      </c>
      <c r="B39" s="20" t="s">
        <v>83</v>
      </c>
      <c r="C39" s="20" t="s">
        <v>55</v>
      </c>
      <c r="D39" s="20"/>
      <c r="E39" s="20" t="s">
        <v>1264</v>
      </c>
      <c r="F39" s="20" t="s">
        <v>353</v>
      </c>
      <c r="G39" s="20" t="s">
        <v>354</v>
      </c>
      <c r="H39" s="21">
        <v>257.54</v>
      </c>
      <c r="I39" s="20" t="s">
        <v>1265</v>
      </c>
      <c r="J39" s="20" t="s">
        <v>1264</v>
      </c>
      <c r="K39" s="20" t="s">
        <v>1266</v>
      </c>
      <c r="L39" s="20" t="s">
        <v>1267</v>
      </c>
      <c r="M39" s="20" t="s">
        <v>1268</v>
      </c>
      <c r="N39" s="20" t="s">
        <v>45</v>
      </c>
      <c r="O39" s="20" t="s">
        <v>1269</v>
      </c>
      <c r="P39" s="20" t="s">
        <v>423</v>
      </c>
    </row>
    <row r="40" ht="60.0" hidden="1" customHeight="1">
      <c r="A40" s="4" t="s">
        <v>710</v>
      </c>
      <c r="B40" s="20" t="s">
        <v>196</v>
      </c>
      <c r="C40" s="20" t="s">
        <v>55</v>
      </c>
      <c r="D40" s="20"/>
      <c r="E40" s="20" t="s">
        <v>1302</v>
      </c>
      <c r="F40" s="20" t="s">
        <v>353</v>
      </c>
      <c r="G40" s="20" t="s">
        <v>354</v>
      </c>
      <c r="H40" s="21">
        <v>299.81</v>
      </c>
      <c r="I40" s="20" t="s">
        <v>1303</v>
      </c>
      <c r="J40" s="20" t="s">
        <v>1302</v>
      </c>
      <c r="K40" s="20" t="s">
        <v>1304</v>
      </c>
      <c r="L40" s="20" t="s">
        <v>1305</v>
      </c>
      <c r="M40" s="20" t="s">
        <v>1306</v>
      </c>
      <c r="N40" s="20" t="s">
        <v>45</v>
      </c>
      <c r="O40" s="20" t="s">
        <v>1307</v>
      </c>
      <c r="P40" s="20" t="s">
        <v>1144</v>
      </c>
    </row>
    <row r="41" ht="15.75" customHeight="1">
      <c r="H41" s="3"/>
    </row>
    <row r="42" ht="15.75" customHeight="1">
      <c r="F42" s="23" t="s">
        <v>14</v>
      </c>
      <c r="H42" s="3">
        <f>SUM(H2:H41)</f>
        <v>4554.73</v>
      </c>
    </row>
    <row r="43" ht="15.75" customHeight="1">
      <c r="H43" s="3"/>
    </row>
    <row r="44" ht="15.75" customHeight="1">
      <c r="F44" s="5" t="s">
        <v>5</v>
      </c>
      <c r="G44" s="5"/>
      <c r="H44" s="11"/>
      <c r="I44" s="5" t="s">
        <v>7</v>
      </c>
      <c r="J44" s="5" t="s">
        <v>8</v>
      </c>
      <c r="K44" s="5" t="s">
        <v>9</v>
      </c>
    </row>
    <row r="45" ht="15.75" customHeight="1">
      <c r="F45" s="7" t="s">
        <v>10</v>
      </c>
      <c r="G45" s="7"/>
      <c r="H45" s="12">
        <f>SUMIF(A2:A40,"no",H2:H40)</f>
        <v>137.79</v>
      </c>
      <c r="I45" s="7">
        <f>COUNTIF(A2:A40,"no")</f>
        <v>1</v>
      </c>
      <c r="J45" s="9">
        <f t="shared" ref="J45:K45" si="1">H45/H47</f>
        <v>0.03025206763</v>
      </c>
      <c r="K45" s="9">
        <f t="shared" si="1"/>
        <v>0.02564102564</v>
      </c>
    </row>
    <row r="46" ht="15.75" customHeight="1">
      <c r="F46" s="4" t="s">
        <v>11</v>
      </c>
      <c r="H46" s="3">
        <f>SUMIF(A2:A40,"Yes",H2:H40)</f>
        <v>4416.94</v>
      </c>
      <c r="I46" s="4">
        <f>COUNTIF(A2:A40,"yes")</f>
        <v>38</v>
      </c>
      <c r="J46" s="10">
        <f t="shared" ref="J46:K46" si="2">H46/H47</f>
        <v>0.9697479324</v>
      </c>
      <c r="K46" s="10">
        <f t="shared" si="2"/>
        <v>0.9743589744</v>
      </c>
    </row>
    <row r="47" ht="15.75" customHeight="1">
      <c r="F47" s="4" t="s">
        <v>14</v>
      </c>
      <c r="H47" s="3">
        <f t="shared" ref="H47:I47" si="3">SUM(H45:H46)</f>
        <v>4554.73</v>
      </c>
      <c r="I47" s="4">
        <f t="shared" si="3"/>
        <v>39</v>
      </c>
    </row>
    <row r="48" ht="15.75" customHeight="1">
      <c r="H48" s="3"/>
    </row>
    <row r="49" ht="15.75" customHeight="1">
      <c r="H49" s="3"/>
    </row>
    <row r="50" ht="15.75" customHeight="1">
      <c r="H50" s="3"/>
    </row>
    <row r="51" ht="15.75" customHeight="1">
      <c r="H51" s="3"/>
    </row>
    <row r="52" ht="15.75" customHeight="1">
      <c r="H52" s="3"/>
    </row>
    <row r="53" ht="15.75" customHeight="1">
      <c r="H53" s="3"/>
    </row>
    <row r="54" ht="15.75" customHeight="1">
      <c r="H54" s="3"/>
    </row>
    <row r="55" ht="15.75" customHeight="1">
      <c r="H55" s="3"/>
    </row>
    <row r="56" ht="15.75" customHeight="1">
      <c r="H56" s="3"/>
    </row>
    <row r="57" ht="15.75" customHeight="1">
      <c r="H57" s="3"/>
    </row>
    <row r="58" ht="15.75" customHeight="1">
      <c r="H58" s="3"/>
    </row>
    <row r="59" ht="15.75" customHeight="1">
      <c r="H59" s="3"/>
    </row>
    <row r="60" ht="15.75" customHeight="1">
      <c r="H60" s="3"/>
    </row>
    <row r="61" ht="15.75" customHeight="1">
      <c r="H61" s="3"/>
    </row>
    <row r="62" ht="15.75" customHeight="1">
      <c r="H62" s="3"/>
    </row>
    <row r="63" ht="15.75" customHeight="1">
      <c r="H63" s="3"/>
    </row>
    <row r="64" ht="15.75" customHeight="1">
      <c r="H64" s="3"/>
    </row>
    <row r="65" ht="15.75" customHeight="1">
      <c r="H65" s="3"/>
    </row>
    <row r="66" ht="15.75" customHeight="1">
      <c r="H66" s="3"/>
    </row>
    <row r="67" ht="15.75" customHeight="1">
      <c r="H67" s="3"/>
    </row>
    <row r="68" ht="15.75" customHeight="1">
      <c r="H68" s="3"/>
    </row>
    <row r="69" ht="15.75" customHeight="1">
      <c r="H69" s="3"/>
    </row>
    <row r="70" ht="15.75" customHeight="1">
      <c r="H70" s="3"/>
    </row>
    <row r="71" ht="15.75" customHeight="1">
      <c r="H71" s="3"/>
    </row>
    <row r="72" ht="15.75" customHeight="1">
      <c r="H72" s="3"/>
    </row>
    <row r="73" ht="15.75" customHeight="1">
      <c r="H73" s="3"/>
    </row>
    <row r="74" ht="15.75" customHeight="1">
      <c r="H74" s="3"/>
    </row>
    <row r="75" ht="15.75" customHeight="1">
      <c r="H75" s="3"/>
    </row>
    <row r="76" ht="15.75" customHeight="1">
      <c r="H76" s="3"/>
    </row>
    <row r="77" ht="15.75" customHeight="1">
      <c r="H77" s="3"/>
    </row>
    <row r="78" ht="15.75" customHeight="1">
      <c r="H78" s="3"/>
    </row>
    <row r="79" ht="15.75" customHeight="1">
      <c r="H79" s="3"/>
    </row>
    <row r="80" ht="15.75" customHeight="1">
      <c r="H80" s="3"/>
    </row>
    <row r="81" ht="15.75" customHeight="1">
      <c r="H81" s="3"/>
    </row>
    <row r="82" ht="15.75" customHeight="1">
      <c r="H82" s="3"/>
    </row>
    <row r="83" ht="15.75" customHeight="1">
      <c r="H83" s="3"/>
    </row>
    <row r="84" ht="15.75" customHeight="1">
      <c r="H84" s="3"/>
    </row>
    <row r="85" ht="15.75" customHeight="1">
      <c r="H85" s="3"/>
    </row>
    <row r="86" ht="15.75" customHeight="1">
      <c r="H86" s="3"/>
    </row>
    <row r="87" ht="15.75" customHeight="1">
      <c r="H87" s="3"/>
    </row>
    <row r="88" ht="15.75" customHeight="1">
      <c r="H88" s="3"/>
    </row>
    <row r="89" ht="15.75" customHeight="1">
      <c r="H89" s="3"/>
    </row>
    <row r="90" ht="15.75" customHeight="1">
      <c r="H90" s="3"/>
    </row>
    <row r="91" ht="15.75" customHeight="1">
      <c r="H91" s="3"/>
    </row>
    <row r="92" ht="15.75" customHeight="1">
      <c r="H92" s="3"/>
    </row>
    <row r="93" ht="15.75" customHeight="1">
      <c r="H93" s="3"/>
    </row>
    <row r="94" ht="15.75" customHeight="1">
      <c r="H94" s="3"/>
    </row>
    <row r="95" ht="15.75" customHeight="1">
      <c r="H95" s="3"/>
    </row>
    <row r="96" ht="15.75" customHeight="1">
      <c r="H96" s="3"/>
    </row>
    <row r="97" ht="15.75" customHeight="1">
      <c r="H97" s="3"/>
    </row>
    <row r="98" ht="15.75" customHeight="1">
      <c r="H98" s="3"/>
    </row>
    <row r="99" ht="15.75" customHeight="1">
      <c r="H99" s="3"/>
    </row>
    <row r="100" ht="15.75" customHeight="1">
      <c r="H100" s="3"/>
    </row>
    <row r="101" ht="15.75" customHeight="1">
      <c r="H101" s="3"/>
    </row>
    <row r="102" ht="15.75" customHeight="1">
      <c r="H102" s="3"/>
    </row>
    <row r="103" ht="15.75" customHeight="1">
      <c r="H103" s="3"/>
    </row>
    <row r="104" ht="15.75" customHeight="1">
      <c r="H104" s="3"/>
    </row>
    <row r="105" ht="15.75" customHeight="1">
      <c r="H105" s="3"/>
    </row>
    <row r="106" ht="15.75" customHeight="1">
      <c r="H106" s="3"/>
    </row>
    <row r="107" ht="15.75" customHeight="1">
      <c r="H107" s="3"/>
    </row>
    <row r="108" ht="15.75" customHeight="1">
      <c r="H108" s="3"/>
    </row>
    <row r="109" ht="15.75" customHeight="1">
      <c r="H109" s="3"/>
    </row>
    <row r="110" ht="15.75" customHeight="1">
      <c r="H110" s="3"/>
    </row>
    <row r="111" ht="15.75" customHeight="1">
      <c r="H111" s="3"/>
    </row>
    <row r="112" ht="15.75" customHeight="1">
      <c r="H112" s="3"/>
    </row>
    <row r="113" ht="15.75" customHeight="1">
      <c r="H113" s="3"/>
    </row>
    <row r="114" ht="15.75" customHeight="1">
      <c r="H114" s="3"/>
    </row>
    <row r="115" ht="15.75" customHeight="1">
      <c r="H115" s="3"/>
    </row>
    <row r="116" ht="15.75" customHeight="1">
      <c r="H116" s="3"/>
    </row>
    <row r="117" ht="15.75" customHeight="1">
      <c r="H117" s="3"/>
    </row>
    <row r="118" ht="15.75" customHeight="1">
      <c r="H118" s="3"/>
    </row>
    <row r="119" ht="15.75" customHeight="1">
      <c r="H119" s="3"/>
    </row>
    <row r="120" ht="15.75" customHeight="1">
      <c r="H120" s="3"/>
    </row>
    <row r="121" ht="15.75" customHeight="1">
      <c r="H121" s="3"/>
    </row>
    <row r="122" ht="15.75" customHeight="1">
      <c r="H122" s="3"/>
    </row>
    <row r="123" ht="15.75" customHeight="1">
      <c r="H123" s="3"/>
    </row>
    <row r="124" ht="15.75" customHeight="1">
      <c r="H124" s="3"/>
    </row>
    <row r="125" ht="15.75" customHeight="1">
      <c r="H125" s="3"/>
    </row>
    <row r="126" ht="15.75" customHeight="1">
      <c r="H126" s="3"/>
    </row>
    <row r="127" ht="15.75" customHeight="1">
      <c r="H127" s="3"/>
    </row>
    <row r="128" ht="15.75" customHeight="1">
      <c r="H128" s="3"/>
    </row>
    <row r="129" ht="15.75" customHeight="1">
      <c r="H129" s="3"/>
    </row>
    <row r="130" ht="15.75" customHeight="1">
      <c r="H130" s="3"/>
    </row>
    <row r="131" ht="15.75" customHeight="1">
      <c r="H131" s="3"/>
    </row>
    <row r="132" ht="15.75" customHeight="1">
      <c r="H132" s="3"/>
    </row>
    <row r="133" ht="15.75" customHeight="1">
      <c r="H133" s="3"/>
    </row>
    <row r="134" ht="15.75" customHeight="1">
      <c r="H134" s="3"/>
    </row>
    <row r="135" ht="15.75" customHeight="1">
      <c r="H135" s="3"/>
    </row>
    <row r="136" ht="15.75" customHeight="1">
      <c r="H136" s="3"/>
    </row>
    <row r="137" ht="15.75" customHeight="1">
      <c r="H137" s="3"/>
    </row>
    <row r="138" ht="15.75" customHeight="1">
      <c r="H138" s="3"/>
    </row>
    <row r="139" ht="15.75" customHeight="1">
      <c r="H139" s="3"/>
    </row>
    <row r="140" ht="15.75" customHeight="1">
      <c r="H140" s="3"/>
    </row>
    <row r="141" ht="15.75" customHeight="1">
      <c r="H141" s="3"/>
    </row>
    <row r="142" ht="15.75" customHeight="1">
      <c r="H142" s="3"/>
    </row>
    <row r="143" ht="15.75" customHeight="1">
      <c r="H143" s="3"/>
    </row>
    <row r="144" ht="15.75" customHeight="1">
      <c r="H144" s="3"/>
    </row>
    <row r="145" ht="15.75" customHeight="1">
      <c r="H145" s="3"/>
    </row>
    <row r="146" ht="15.75" customHeight="1">
      <c r="H146" s="3"/>
    </row>
    <row r="147" ht="15.75" customHeight="1">
      <c r="H147" s="3"/>
    </row>
    <row r="148" ht="15.75" customHeight="1">
      <c r="H148" s="3"/>
    </row>
    <row r="149" ht="15.75" customHeight="1">
      <c r="H149" s="3"/>
    </row>
    <row r="150" ht="15.75" customHeight="1">
      <c r="H150" s="3"/>
    </row>
    <row r="151" ht="15.75" customHeight="1">
      <c r="H151" s="3"/>
    </row>
    <row r="152" ht="15.75" customHeight="1">
      <c r="H152" s="3"/>
    </row>
    <row r="153" ht="15.75" customHeight="1">
      <c r="H153" s="3"/>
    </row>
    <row r="154" ht="15.75" customHeight="1">
      <c r="H154" s="3"/>
    </row>
    <row r="155" ht="15.75" customHeight="1">
      <c r="H155" s="3"/>
    </row>
    <row r="156" ht="15.75" customHeight="1">
      <c r="H156" s="3"/>
    </row>
    <row r="157" ht="15.75" customHeight="1">
      <c r="H157" s="3"/>
    </row>
    <row r="158" ht="15.75" customHeight="1">
      <c r="H158" s="3"/>
    </row>
    <row r="159" ht="15.75" customHeight="1">
      <c r="H159" s="3"/>
    </row>
    <row r="160" ht="15.75" customHeight="1">
      <c r="H160" s="3"/>
    </row>
    <row r="161" ht="15.75" customHeight="1">
      <c r="H161" s="3"/>
    </row>
    <row r="162" ht="15.75" customHeight="1">
      <c r="H162" s="3"/>
    </row>
    <row r="163" ht="15.75" customHeight="1">
      <c r="H163" s="3"/>
    </row>
    <row r="164" ht="15.75" customHeight="1">
      <c r="H164" s="3"/>
    </row>
    <row r="165" ht="15.75" customHeight="1">
      <c r="H165" s="3"/>
    </row>
    <row r="166" ht="15.75" customHeight="1">
      <c r="H166" s="3"/>
    </row>
    <row r="167" ht="15.75" customHeight="1">
      <c r="H167" s="3"/>
    </row>
    <row r="168" ht="15.75" customHeight="1">
      <c r="H168" s="3"/>
    </row>
    <row r="169" ht="15.75" customHeight="1">
      <c r="H169" s="3"/>
    </row>
    <row r="170" ht="15.75" customHeight="1">
      <c r="H170" s="3"/>
    </row>
    <row r="171" ht="15.75" customHeight="1">
      <c r="H171" s="3"/>
    </row>
    <row r="172" ht="15.75" customHeight="1">
      <c r="H172" s="3"/>
    </row>
    <row r="173" ht="15.75" customHeight="1">
      <c r="H173" s="3"/>
    </row>
    <row r="174" ht="15.75" customHeight="1">
      <c r="H174" s="3"/>
    </row>
    <row r="175" ht="15.75" customHeight="1">
      <c r="H175" s="3"/>
    </row>
    <row r="176" ht="15.75" customHeight="1">
      <c r="H176" s="3"/>
    </row>
    <row r="177" ht="15.75" customHeight="1">
      <c r="H177" s="3"/>
    </row>
    <row r="178" ht="15.75" customHeight="1">
      <c r="H178" s="3"/>
    </row>
    <row r="179" ht="15.75" customHeight="1">
      <c r="H179" s="3"/>
    </row>
    <row r="180" ht="15.75" customHeight="1">
      <c r="H180" s="3"/>
    </row>
    <row r="181" ht="15.75" customHeight="1">
      <c r="H181" s="3"/>
    </row>
    <row r="182" ht="15.75" customHeight="1">
      <c r="H182" s="3"/>
    </row>
    <row r="183" ht="15.75" customHeight="1">
      <c r="H183" s="3"/>
    </row>
    <row r="184" ht="15.75" customHeight="1">
      <c r="H184" s="3"/>
    </row>
    <row r="185" ht="15.75" customHeight="1">
      <c r="H185" s="3"/>
    </row>
    <row r="186" ht="15.75" customHeight="1">
      <c r="H186" s="3"/>
    </row>
    <row r="187" ht="15.75" customHeight="1">
      <c r="H187" s="3"/>
    </row>
    <row r="188" ht="15.75" customHeight="1">
      <c r="H188" s="3"/>
    </row>
    <row r="189" ht="15.75" customHeight="1">
      <c r="H189" s="3"/>
    </row>
    <row r="190" ht="15.75" customHeight="1">
      <c r="H190" s="3"/>
    </row>
    <row r="191" ht="15.75" customHeight="1">
      <c r="H191" s="3"/>
    </row>
    <row r="192" ht="15.75" customHeight="1">
      <c r="H192" s="3"/>
    </row>
    <row r="193" ht="15.75" customHeight="1">
      <c r="H193" s="3"/>
    </row>
    <row r="194" ht="15.75" customHeight="1">
      <c r="H194" s="3"/>
    </row>
    <row r="195" ht="15.75" customHeight="1">
      <c r="H195" s="3"/>
    </row>
    <row r="196" ht="15.75" customHeight="1">
      <c r="H196" s="3"/>
    </row>
    <row r="197" ht="15.75" customHeight="1">
      <c r="H197" s="3"/>
    </row>
    <row r="198" ht="15.75" customHeight="1">
      <c r="H198" s="3"/>
    </row>
    <row r="199" ht="15.75" customHeight="1">
      <c r="H199" s="3"/>
    </row>
    <row r="200" ht="15.75" customHeight="1">
      <c r="H200" s="3"/>
    </row>
    <row r="201" ht="15.75" customHeight="1">
      <c r="H201" s="3"/>
    </row>
    <row r="202" ht="15.75" customHeight="1">
      <c r="H202" s="3"/>
    </row>
    <row r="203" ht="15.75" customHeight="1">
      <c r="H203" s="3"/>
    </row>
    <row r="204" ht="15.75" customHeight="1">
      <c r="H204" s="3"/>
    </row>
    <row r="205" ht="15.75" customHeight="1">
      <c r="H205" s="3"/>
    </row>
    <row r="206" ht="15.75" customHeight="1">
      <c r="H206" s="3"/>
    </row>
    <row r="207" ht="15.75" customHeight="1">
      <c r="H207" s="3"/>
    </row>
    <row r="208" ht="15.75" customHeight="1">
      <c r="H208" s="3"/>
    </row>
    <row r="209" ht="15.75" customHeight="1">
      <c r="H209" s="3"/>
    </row>
    <row r="210" ht="15.75" customHeight="1">
      <c r="H210" s="3"/>
    </row>
    <row r="211" ht="15.75" customHeight="1">
      <c r="H211" s="3"/>
    </row>
    <row r="212" ht="15.75" customHeight="1">
      <c r="H212" s="3"/>
    </row>
    <row r="213" ht="15.75" customHeight="1">
      <c r="H213" s="3"/>
    </row>
    <row r="214" ht="15.75" customHeight="1">
      <c r="H214" s="3"/>
    </row>
    <row r="215" ht="15.75" customHeight="1">
      <c r="H215" s="3"/>
    </row>
    <row r="216" ht="15.75" customHeight="1">
      <c r="H216" s="3"/>
    </row>
    <row r="217" ht="15.75" customHeight="1">
      <c r="H217" s="3"/>
    </row>
    <row r="218" ht="15.75" customHeight="1">
      <c r="H218" s="3"/>
    </row>
    <row r="219" ht="15.75" customHeight="1">
      <c r="H219" s="3"/>
    </row>
    <row r="220" ht="15.75" customHeight="1">
      <c r="H220" s="3"/>
    </row>
    <row r="221" ht="15.75" customHeight="1">
      <c r="H221" s="3"/>
    </row>
    <row r="222" ht="15.75" customHeight="1">
      <c r="H222" s="3"/>
    </row>
    <row r="223" ht="15.75" customHeight="1">
      <c r="H223" s="3"/>
    </row>
    <row r="224" ht="15.75" customHeight="1">
      <c r="H224" s="3"/>
    </row>
    <row r="225" ht="15.75" customHeight="1">
      <c r="H225" s="3"/>
    </row>
    <row r="226" ht="15.75" customHeight="1">
      <c r="H226" s="3"/>
    </row>
    <row r="227" ht="15.75" customHeight="1">
      <c r="H227" s="3"/>
    </row>
    <row r="228" ht="15.75" customHeight="1">
      <c r="H228" s="3"/>
    </row>
    <row r="229" ht="15.75" customHeight="1">
      <c r="H229" s="3"/>
    </row>
    <row r="230" ht="15.75" customHeight="1">
      <c r="H230" s="3"/>
    </row>
    <row r="231" ht="15.75" customHeight="1">
      <c r="H231" s="3"/>
    </row>
    <row r="232" ht="15.75" customHeight="1">
      <c r="H232" s="3"/>
    </row>
    <row r="233" ht="15.75" customHeight="1">
      <c r="H233" s="3"/>
    </row>
    <row r="234" ht="15.75" customHeight="1">
      <c r="H234" s="3"/>
    </row>
    <row r="235" ht="15.75" customHeight="1">
      <c r="H235" s="3"/>
    </row>
    <row r="236" ht="15.75" customHeight="1">
      <c r="H236" s="3"/>
    </row>
    <row r="237" ht="15.75" customHeight="1">
      <c r="H237" s="3"/>
    </row>
    <row r="238" ht="15.75" customHeight="1">
      <c r="H238" s="3"/>
    </row>
    <row r="239" ht="15.75" customHeight="1">
      <c r="H239" s="3"/>
    </row>
    <row r="240" ht="15.75" customHeight="1">
      <c r="H240" s="3"/>
    </row>
    <row r="241" ht="15.75" customHeight="1">
      <c r="H241" s="3"/>
    </row>
    <row r="242" ht="15.75" customHeight="1">
      <c r="H242" s="3"/>
    </row>
    <row r="243" ht="15.75" customHeight="1">
      <c r="H243" s="3"/>
    </row>
    <row r="244" ht="15.75" customHeight="1">
      <c r="H244" s="3"/>
    </row>
    <row r="245" ht="15.75" customHeight="1">
      <c r="H245" s="3"/>
    </row>
    <row r="246" ht="15.75" customHeight="1">
      <c r="H246" s="3"/>
    </row>
    <row r="247" ht="15.75" customHeight="1">
      <c r="H247" s="3"/>
    </row>
    <row r="248" ht="15.75" customHeight="1">
      <c r="H248" s="3"/>
    </row>
    <row r="249" ht="15.75" customHeight="1">
      <c r="H249" s="3"/>
    </row>
    <row r="250" ht="15.75" customHeight="1">
      <c r="H250" s="3"/>
    </row>
    <row r="251" ht="15.75" customHeight="1">
      <c r="H251" s="3"/>
    </row>
    <row r="252" ht="15.75" customHeight="1">
      <c r="H252" s="3"/>
    </row>
    <row r="253" ht="15.75" customHeight="1">
      <c r="H253" s="3"/>
    </row>
    <row r="254" ht="15.75" customHeight="1">
      <c r="H254" s="3"/>
    </row>
    <row r="255" ht="15.75" customHeight="1">
      <c r="H255" s="3"/>
    </row>
    <row r="256" ht="15.75" customHeight="1">
      <c r="H256" s="3"/>
    </row>
    <row r="257" ht="15.75" customHeight="1">
      <c r="H257" s="3"/>
    </row>
    <row r="258" ht="15.75" customHeight="1">
      <c r="H258" s="3"/>
    </row>
    <row r="259" ht="15.75" customHeight="1">
      <c r="H259" s="3"/>
    </row>
    <row r="260" ht="15.75" customHeight="1">
      <c r="H260" s="3"/>
    </row>
    <row r="261" ht="15.75" customHeight="1">
      <c r="H261" s="3"/>
    </row>
    <row r="262" ht="15.75" customHeight="1">
      <c r="H262" s="3"/>
    </row>
    <row r="263" ht="15.75" customHeight="1">
      <c r="H263" s="3"/>
    </row>
    <row r="264" ht="15.75" customHeight="1">
      <c r="H264" s="3"/>
    </row>
    <row r="265" ht="15.75" customHeight="1">
      <c r="H265" s="3"/>
    </row>
    <row r="266" ht="15.75" customHeight="1">
      <c r="H266" s="3"/>
    </row>
    <row r="267" ht="15.75" customHeight="1">
      <c r="H267" s="3"/>
    </row>
    <row r="268" ht="15.75" customHeight="1">
      <c r="H268" s="3"/>
    </row>
    <row r="269" ht="15.75" customHeight="1">
      <c r="H269" s="3"/>
    </row>
    <row r="270" ht="15.75" customHeight="1">
      <c r="H270" s="3"/>
    </row>
    <row r="271" ht="15.75" customHeight="1">
      <c r="H271" s="3"/>
    </row>
    <row r="272" ht="15.75" customHeight="1">
      <c r="H272" s="3"/>
    </row>
    <row r="273" ht="15.75" customHeight="1">
      <c r="H273" s="3"/>
    </row>
    <row r="274" ht="15.75" customHeight="1">
      <c r="H274" s="3"/>
    </row>
    <row r="275" ht="15.75" customHeight="1">
      <c r="H275" s="3"/>
    </row>
    <row r="276" ht="15.75" customHeight="1">
      <c r="H276" s="3"/>
    </row>
    <row r="277" ht="15.75" customHeight="1">
      <c r="H277" s="3"/>
    </row>
    <row r="278" ht="15.75" customHeight="1">
      <c r="H278" s="3"/>
    </row>
    <row r="279" ht="15.75" customHeight="1">
      <c r="H279" s="3"/>
    </row>
    <row r="280" ht="15.75" customHeight="1">
      <c r="H280" s="3"/>
    </row>
    <row r="281" ht="15.75" customHeight="1">
      <c r="H281" s="3"/>
    </row>
    <row r="282" ht="15.75" customHeight="1">
      <c r="H282" s="3"/>
    </row>
    <row r="283" ht="15.75" customHeight="1">
      <c r="H283" s="3"/>
    </row>
    <row r="284" ht="15.75" customHeight="1">
      <c r="H284" s="3"/>
    </row>
    <row r="285" ht="15.75" customHeight="1">
      <c r="H285" s="3"/>
    </row>
    <row r="286" ht="15.75" customHeight="1">
      <c r="H286" s="3"/>
    </row>
    <row r="287" ht="15.75" customHeight="1">
      <c r="H287" s="3"/>
    </row>
    <row r="288" ht="15.75" customHeight="1">
      <c r="H288" s="3"/>
    </row>
    <row r="289" ht="15.75" customHeight="1">
      <c r="H289" s="3"/>
    </row>
    <row r="290" ht="15.75" customHeight="1">
      <c r="H290" s="3"/>
    </row>
    <row r="291" ht="15.75" customHeight="1">
      <c r="H291" s="3"/>
    </row>
    <row r="292" ht="15.75" customHeight="1">
      <c r="H292" s="3"/>
    </row>
    <row r="293" ht="15.75" customHeight="1">
      <c r="H293" s="3"/>
    </row>
    <row r="294" ht="15.75" customHeight="1">
      <c r="H294" s="3"/>
    </row>
    <row r="295" ht="15.75" customHeight="1">
      <c r="H295" s="3"/>
    </row>
    <row r="296" ht="15.75" customHeight="1">
      <c r="H296" s="3"/>
    </row>
    <row r="297" ht="15.75" customHeight="1">
      <c r="H297" s="3"/>
    </row>
    <row r="298" ht="15.75" customHeight="1">
      <c r="H298" s="3"/>
    </row>
    <row r="299" ht="15.75" customHeight="1">
      <c r="H299" s="3"/>
    </row>
    <row r="300" ht="15.75" customHeight="1">
      <c r="H300" s="3"/>
    </row>
    <row r="301" ht="15.75" customHeight="1">
      <c r="H301" s="3"/>
    </row>
    <row r="302" ht="15.75" customHeight="1">
      <c r="H302" s="3"/>
    </row>
    <row r="303" ht="15.75" customHeight="1">
      <c r="H303" s="3"/>
    </row>
    <row r="304" ht="15.75" customHeight="1">
      <c r="H304" s="3"/>
    </row>
    <row r="305" ht="15.75" customHeight="1">
      <c r="H305" s="3"/>
    </row>
    <row r="306" ht="15.75" customHeight="1">
      <c r="H306" s="3"/>
    </row>
    <row r="307" ht="15.75" customHeight="1">
      <c r="H307" s="3"/>
    </row>
    <row r="308" ht="15.75" customHeight="1">
      <c r="H308" s="3"/>
    </row>
    <row r="309" ht="15.75" customHeight="1">
      <c r="H309" s="3"/>
    </row>
    <row r="310" ht="15.75" customHeight="1">
      <c r="H310" s="3"/>
    </row>
    <row r="311" ht="15.75" customHeight="1">
      <c r="H311" s="3"/>
    </row>
    <row r="312" ht="15.75" customHeight="1">
      <c r="H312" s="3"/>
    </row>
    <row r="313" ht="15.75" customHeight="1">
      <c r="H313" s="3"/>
    </row>
    <row r="314" ht="15.75" customHeight="1">
      <c r="H314" s="3"/>
    </row>
    <row r="315" ht="15.75" customHeight="1">
      <c r="H315" s="3"/>
    </row>
    <row r="316" ht="15.75" customHeight="1">
      <c r="H316" s="3"/>
    </row>
    <row r="317" ht="15.75" customHeight="1">
      <c r="H317" s="3"/>
    </row>
    <row r="318" ht="15.75" customHeight="1">
      <c r="H318" s="3"/>
    </row>
    <row r="319" ht="15.75" customHeight="1">
      <c r="H319" s="3"/>
    </row>
    <row r="320" ht="15.75" customHeight="1">
      <c r="H320" s="3"/>
    </row>
    <row r="321" ht="15.75" customHeight="1">
      <c r="H321" s="3"/>
    </row>
    <row r="322" ht="15.75" customHeight="1">
      <c r="H322" s="3"/>
    </row>
    <row r="323" ht="15.75" customHeight="1">
      <c r="H323" s="3"/>
    </row>
    <row r="324" ht="15.75" customHeight="1">
      <c r="H324" s="3"/>
    </row>
    <row r="325" ht="15.75" customHeight="1">
      <c r="H325" s="3"/>
    </row>
    <row r="326" ht="15.75" customHeight="1">
      <c r="H326" s="3"/>
    </row>
    <row r="327" ht="15.75" customHeight="1">
      <c r="H327" s="3"/>
    </row>
    <row r="328" ht="15.75" customHeight="1">
      <c r="H328" s="3"/>
    </row>
    <row r="329" ht="15.75" customHeight="1">
      <c r="H329" s="3"/>
    </row>
    <row r="330" ht="15.75" customHeight="1">
      <c r="H330" s="3"/>
    </row>
    <row r="331" ht="15.75" customHeight="1">
      <c r="H331" s="3"/>
    </row>
    <row r="332" ht="15.75" customHeight="1">
      <c r="H332" s="3"/>
    </row>
    <row r="333" ht="15.75" customHeight="1">
      <c r="H333" s="3"/>
    </row>
    <row r="334" ht="15.75" customHeight="1">
      <c r="H334" s="3"/>
    </row>
    <row r="335" ht="15.75" customHeight="1">
      <c r="H335" s="3"/>
    </row>
    <row r="336" ht="15.75" customHeight="1">
      <c r="H336" s="3"/>
    </row>
    <row r="337" ht="15.75" customHeight="1">
      <c r="H337" s="3"/>
    </row>
    <row r="338" ht="15.75" customHeight="1">
      <c r="H338" s="3"/>
    </row>
    <row r="339" ht="15.75" customHeight="1">
      <c r="H339" s="3"/>
    </row>
    <row r="340" ht="15.75" customHeight="1">
      <c r="H340" s="3"/>
    </row>
    <row r="341" ht="15.75" customHeight="1">
      <c r="H341" s="3"/>
    </row>
    <row r="342" ht="15.75" customHeight="1">
      <c r="H342" s="3"/>
    </row>
    <row r="343" ht="15.75" customHeight="1">
      <c r="H343" s="3"/>
    </row>
    <row r="344" ht="15.75" customHeight="1">
      <c r="H344" s="3"/>
    </row>
    <row r="345" ht="15.75" customHeight="1">
      <c r="H345" s="3"/>
    </row>
    <row r="346" ht="15.75" customHeight="1">
      <c r="H346" s="3"/>
    </row>
    <row r="347" ht="15.75" customHeight="1">
      <c r="H347" s="3"/>
    </row>
    <row r="348" ht="15.75" customHeight="1">
      <c r="H348" s="3"/>
    </row>
    <row r="349" ht="15.75" customHeight="1">
      <c r="H349" s="3"/>
    </row>
    <row r="350" ht="15.75" customHeight="1">
      <c r="H350" s="3"/>
    </row>
    <row r="351" ht="15.75" customHeight="1">
      <c r="H351" s="3"/>
    </row>
    <row r="352" ht="15.75" customHeight="1">
      <c r="H352" s="3"/>
    </row>
    <row r="353" ht="15.75" customHeight="1">
      <c r="H353" s="3"/>
    </row>
    <row r="354" ht="15.75" customHeight="1">
      <c r="H354" s="3"/>
    </row>
    <row r="355" ht="15.75" customHeight="1">
      <c r="H355" s="3"/>
    </row>
    <row r="356" ht="15.75" customHeight="1">
      <c r="H356" s="3"/>
    </row>
    <row r="357" ht="15.75" customHeight="1">
      <c r="H357" s="3"/>
    </row>
    <row r="358" ht="15.75" customHeight="1">
      <c r="H358" s="3"/>
    </row>
    <row r="359" ht="15.75" customHeight="1">
      <c r="H359" s="3"/>
    </row>
    <row r="360" ht="15.75" customHeight="1">
      <c r="H360" s="3"/>
    </row>
    <row r="361" ht="15.75" customHeight="1">
      <c r="H361" s="3"/>
    </row>
    <row r="362" ht="15.75" customHeight="1">
      <c r="H362" s="3"/>
    </row>
    <row r="363" ht="15.75" customHeight="1">
      <c r="H363" s="3"/>
    </row>
    <row r="364" ht="15.75" customHeight="1">
      <c r="H364" s="3"/>
    </row>
    <row r="365" ht="15.75" customHeight="1">
      <c r="H365" s="3"/>
    </row>
    <row r="366" ht="15.75" customHeight="1">
      <c r="H366" s="3"/>
    </row>
    <row r="367" ht="15.75" customHeight="1">
      <c r="H367" s="3"/>
    </row>
    <row r="368" ht="15.75" customHeight="1">
      <c r="H368" s="3"/>
    </row>
    <row r="369" ht="15.75" customHeight="1">
      <c r="H369" s="3"/>
    </row>
    <row r="370" ht="15.75" customHeight="1">
      <c r="H370" s="3"/>
    </row>
    <row r="371" ht="15.75" customHeight="1">
      <c r="H371" s="3"/>
    </row>
    <row r="372" ht="15.75" customHeight="1">
      <c r="H372" s="3"/>
    </row>
    <row r="373" ht="15.75" customHeight="1">
      <c r="H373" s="3"/>
    </row>
    <row r="374" ht="15.75" customHeight="1">
      <c r="H374" s="3"/>
    </row>
    <row r="375" ht="15.75" customHeight="1">
      <c r="H375" s="3"/>
    </row>
    <row r="376" ht="15.75" customHeight="1">
      <c r="H376" s="3"/>
    </row>
    <row r="377" ht="15.75" customHeight="1">
      <c r="H377" s="3"/>
    </row>
    <row r="378" ht="15.75" customHeight="1">
      <c r="H378" s="3"/>
    </row>
    <row r="379" ht="15.75" customHeight="1">
      <c r="H379" s="3"/>
    </row>
    <row r="380" ht="15.75" customHeight="1">
      <c r="H380" s="3"/>
    </row>
    <row r="381" ht="15.75" customHeight="1">
      <c r="H381" s="3"/>
    </row>
    <row r="382" ht="15.75" customHeight="1">
      <c r="H382" s="3"/>
    </row>
    <row r="383" ht="15.75" customHeight="1">
      <c r="H383" s="3"/>
    </row>
    <row r="384" ht="15.75" customHeight="1">
      <c r="H384" s="3"/>
    </row>
    <row r="385" ht="15.75" customHeight="1">
      <c r="H385" s="3"/>
    </row>
    <row r="386" ht="15.75" customHeight="1">
      <c r="H386" s="3"/>
    </row>
    <row r="387" ht="15.75" customHeight="1">
      <c r="H387" s="3"/>
    </row>
    <row r="388" ht="15.75" customHeight="1">
      <c r="H388" s="3"/>
    </row>
    <row r="389" ht="15.75" customHeight="1">
      <c r="H389" s="3"/>
    </row>
    <row r="390" ht="15.75" customHeight="1">
      <c r="H390" s="3"/>
    </row>
    <row r="391" ht="15.75" customHeight="1">
      <c r="H391" s="3"/>
    </row>
    <row r="392" ht="15.75" customHeight="1">
      <c r="H392" s="3"/>
    </row>
    <row r="393" ht="15.75" customHeight="1">
      <c r="H393" s="3"/>
    </row>
    <row r="394" ht="15.75" customHeight="1">
      <c r="H394" s="3"/>
    </row>
    <row r="395" ht="15.75" customHeight="1">
      <c r="H395" s="3"/>
    </row>
    <row r="396" ht="15.75" customHeight="1">
      <c r="H396" s="3"/>
    </row>
    <row r="397" ht="15.75" customHeight="1">
      <c r="H397" s="3"/>
    </row>
    <row r="398" ht="15.75" customHeight="1">
      <c r="H398" s="3"/>
    </row>
    <row r="399" ht="15.75" customHeight="1">
      <c r="H399" s="3"/>
    </row>
    <row r="400" ht="15.75" customHeight="1">
      <c r="H400" s="3"/>
    </row>
    <row r="401" ht="15.75" customHeight="1">
      <c r="H401" s="3"/>
    </row>
    <row r="402" ht="15.75" customHeight="1">
      <c r="H402" s="3"/>
    </row>
    <row r="403" ht="15.75" customHeight="1">
      <c r="H403" s="3"/>
    </row>
    <row r="404" ht="15.75" customHeight="1">
      <c r="H404" s="3"/>
    </row>
    <row r="405" ht="15.75" customHeight="1">
      <c r="H405" s="3"/>
    </row>
    <row r="406" ht="15.75" customHeight="1">
      <c r="H406" s="3"/>
    </row>
    <row r="407" ht="15.75" customHeight="1">
      <c r="H407" s="3"/>
    </row>
    <row r="408" ht="15.75" customHeight="1">
      <c r="H408" s="3"/>
    </row>
    <row r="409" ht="15.75" customHeight="1">
      <c r="H409" s="3"/>
    </row>
    <row r="410" ht="15.75" customHeight="1">
      <c r="H410" s="3"/>
    </row>
    <row r="411" ht="15.75" customHeight="1">
      <c r="H411" s="3"/>
    </row>
    <row r="412" ht="15.75" customHeight="1">
      <c r="H412" s="3"/>
    </row>
    <row r="413" ht="15.75" customHeight="1">
      <c r="H413" s="3"/>
    </row>
    <row r="414" ht="15.75" customHeight="1">
      <c r="H414" s="3"/>
    </row>
    <row r="415" ht="15.75" customHeight="1">
      <c r="H415" s="3"/>
    </row>
    <row r="416" ht="15.75" customHeight="1">
      <c r="H416" s="3"/>
    </row>
    <row r="417" ht="15.75" customHeight="1">
      <c r="H417" s="3"/>
    </row>
    <row r="418" ht="15.75" customHeight="1">
      <c r="H418" s="3"/>
    </row>
    <row r="419" ht="15.75" customHeight="1">
      <c r="H419" s="3"/>
    </row>
    <row r="420" ht="15.75" customHeight="1">
      <c r="H420" s="3"/>
    </row>
    <row r="421" ht="15.75" customHeight="1">
      <c r="H421" s="3"/>
    </row>
    <row r="422" ht="15.75" customHeight="1">
      <c r="H422" s="3"/>
    </row>
    <row r="423" ht="15.75" customHeight="1">
      <c r="H423" s="3"/>
    </row>
    <row r="424" ht="15.75" customHeight="1">
      <c r="H424" s="3"/>
    </row>
    <row r="425" ht="15.75" customHeight="1">
      <c r="H425" s="3"/>
    </row>
    <row r="426" ht="15.75" customHeight="1">
      <c r="H426" s="3"/>
    </row>
    <row r="427" ht="15.75" customHeight="1">
      <c r="H427" s="3"/>
    </row>
    <row r="428" ht="15.75" customHeight="1">
      <c r="H428" s="3"/>
    </row>
    <row r="429" ht="15.75" customHeight="1">
      <c r="H429" s="3"/>
    </row>
    <row r="430" ht="15.75" customHeight="1">
      <c r="H430" s="3"/>
    </row>
    <row r="431" ht="15.75" customHeight="1">
      <c r="H431" s="3"/>
    </row>
    <row r="432" ht="15.75" customHeight="1">
      <c r="H432" s="3"/>
    </row>
    <row r="433" ht="15.75" customHeight="1">
      <c r="H433" s="3"/>
    </row>
    <row r="434" ht="15.75" customHeight="1">
      <c r="H434" s="3"/>
    </row>
    <row r="435" ht="15.75" customHeight="1">
      <c r="H435" s="3"/>
    </row>
    <row r="436" ht="15.75" customHeight="1">
      <c r="H436" s="3"/>
    </row>
    <row r="437" ht="15.75" customHeight="1">
      <c r="H437" s="3"/>
    </row>
    <row r="438" ht="15.75" customHeight="1">
      <c r="H438" s="3"/>
    </row>
    <row r="439" ht="15.75" customHeight="1">
      <c r="H439" s="3"/>
    </row>
    <row r="440" ht="15.75" customHeight="1">
      <c r="H440" s="3"/>
    </row>
    <row r="441" ht="15.75" customHeight="1">
      <c r="H441" s="3"/>
    </row>
    <row r="442" ht="15.75" customHeight="1">
      <c r="H442" s="3"/>
    </row>
    <row r="443" ht="15.75" customHeight="1">
      <c r="H443" s="3"/>
    </row>
    <row r="444" ht="15.75" customHeight="1">
      <c r="H444" s="3"/>
    </row>
    <row r="445" ht="15.75" customHeight="1">
      <c r="H445" s="3"/>
    </row>
    <row r="446" ht="15.75" customHeight="1">
      <c r="H446" s="3"/>
    </row>
    <row r="447" ht="15.75" customHeight="1">
      <c r="H447" s="3"/>
    </row>
    <row r="448" ht="15.75" customHeight="1">
      <c r="H448" s="3"/>
    </row>
    <row r="449" ht="15.75" customHeight="1">
      <c r="H449" s="3"/>
    </row>
    <row r="450" ht="15.75" customHeight="1">
      <c r="H450" s="3"/>
    </row>
    <row r="451" ht="15.75" customHeight="1">
      <c r="H451" s="3"/>
    </row>
    <row r="452" ht="15.75" customHeight="1">
      <c r="H452" s="3"/>
    </row>
    <row r="453" ht="15.75" customHeight="1">
      <c r="H453" s="3"/>
    </row>
    <row r="454" ht="15.75" customHeight="1">
      <c r="H454" s="3"/>
    </row>
    <row r="455" ht="15.75" customHeight="1">
      <c r="H455" s="3"/>
    </row>
    <row r="456" ht="15.75" customHeight="1">
      <c r="H456" s="3"/>
    </row>
    <row r="457" ht="15.75" customHeight="1">
      <c r="H457" s="3"/>
    </row>
    <row r="458" ht="15.75" customHeight="1">
      <c r="H458" s="3"/>
    </row>
    <row r="459" ht="15.75" customHeight="1">
      <c r="H459" s="3"/>
    </row>
    <row r="460" ht="15.75" customHeight="1">
      <c r="H460" s="3"/>
    </row>
    <row r="461" ht="15.75" customHeight="1">
      <c r="H461" s="3"/>
    </row>
    <row r="462" ht="15.75" customHeight="1">
      <c r="H462" s="3"/>
    </row>
    <row r="463" ht="15.75" customHeight="1">
      <c r="H463" s="3"/>
    </row>
    <row r="464" ht="15.75" customHeight="1">
      <c r="H464" s="3"/>
    </row>
    <row r="465" ht="15.75" customHeight="1">
      <c r="H465" s="3"/>
    </row>
    <row r="466" ht="15.75" customHeight="1">
      <c r="H466" s="3"/>
    </row>
    <row r="467" ht="15.75" customHeight="1">
      <c r="H467" s="3"/>
    </row>
    <row r="468" ht="15.75" customHeight="1">
      <c r="H468" s="3"/>
    </row>
    <row r="469" ht="15.75" customHeight="1">
      <c r="H469" s="3"/>
    </row>
    <row r="470" ht="15.75" customHeight="1">
      <c r="H470" s="3"/>
    </row>
    <row r="471" ht="15.75" customHeight="1">
      <c r="H471" s="3"/>
    </row>
    <row r="472" ht="15.75" customHeight="1">
      <c r="H472" s="3"/>
    </row>
    <row r="473" ht="15.75" customHeight="1">
      <c r="H473" s="3"/>
    </row>
    <row r="474" ht="15.75" customHeight="1">
      <c r="H474" s="3"/>
    </row>
    <row r="475" ht="15.75" customHeight="1">
      <c r="H475" s="3"/>
    </row>
    <row r="476" ht="15.75" customHeight="1">
      <c r="H476" s="3"/>
    </row>
    <row r="477" ht="15.75" customHeight="1">
      <c r="H477" s="3"/>
    </row>
    <row r="478" ht="15.75" customHeight="1">
      <c r="H478" s="3"/>
    </row>
    <row r="479" ht="15.75" customHeight="1">
      <c r="H479" s="3"/>
    </row>
    <row r="480" ht="15.75" customHeight="1">
      <c r="H480" s="3"/>
    </row>
    <row r="481" ht="15.75" customHeight="1">
      <c r="H481" s="3"/>
    </row>
    <row r="482" ht="15.75" customHeight="1">
      <c r="H482" s="3"/>
    </row>
    <row r="483" ht="15.75" customHeight="1">
      <c r="H483" s="3"/>
    </row>
    <row r="484" ht="15.75" customHeight="1">
      <c r="H484" s="3"/>
    </row>
    <row r="485" ht="15.75" customHeight="1">
      <c r="H485" s="3"/>
    </row>
    <row r="486" ht="15.75" customHeight="1">
      <c r="H486" s="3"/>
    </row>
    <row r="487" ht="15.75" customHeight="1">
      <c r="H487" s="3"/>
    </row>
    <row r="488" ht="15.75" customHeight="1">
      <c r="H488" s="3"/>
    </row>
    <row r="489" ht="15.75" customHeight="1">
      <c r="H489" s="3"/>
    </row>
    <row r="490" ht="15.75" customHeight="1">
      <c r="H490" s="3"/>
    </row>
    <row r="491" ht="15.75" customHeight="1">
      <c r="H491" s="3"/>
    </row>
    <row r="492" ht="15.75" customHeight="1">
      <c r="H492" s="3"/>
    </row>
    <row r="493" ht="15.75" customHeight="1">
      <c r="H493" s="3"/>
    </row>
    <row r="494" ht="15.75" customHeight="1">
      <c r="H494" s="3"/>
    </row>
    <row r="495" ht="15.75" customHeight="1">
      <c r="H495" s="3"/>
    </row>
    <row r="496" ht="15.75" customHeight="1">
      <c r="H496" s="3"/>
    </row>
    <row r="497" ht="15.75" customHeight="1">
      <c r="H497" s="3"/>
    </row>
    <row r="498" ht="15.75" customHeight="1">
      <c r="H498" s="3"/>
    </row>
    <row r="499" ht="15.75" customHeight="1">
      <c r="H499" s="3"/>
    </row>
    <row r="500" ht="15.75" customHeight="1">
      <c r="H500" s="3"/>
    </row>
    <row r="501" ht="15.75" customHeight="1">
      <c r="H501" s="3"/>
    </row>
    <row r="502" ht="15.75" customHeight="1">
      <c r="H502" s="3"/>
    </row>
    <row r="503" ht="15.75" customHeight="1">
      <c r="H503" s="3"/>
    </row>
    <row r="504" ht="15.75" customHeight="1">
      <c r="H504" s="3"/>
    </row>
    <row r="505" ht="15.75" customHeight="1">
      <c r="H505" s="3"/>
    </row>
    <row r="506" ht="15.75" customHeight="1">
      <c r="H506" s="3"/>
    </row>
    <row r="507" ht="15.75" customHeight="1">
      <c r="H507" s="3"/>
    </row>
    <row r="508" ht="15.75" customHeight="1">
      <c r="H508" s="3"/>
    </row>
    <row r="509" ht="15.75" customHeight="1">
      <c r="H509" s="3"/>
    </row>
    <row r="510" ht="15.75" customHeight="1">
      <c r="H510" s="3"/>
    </row>
    <row r="511" ht="15.75" customHeight="1">
      <c r="H511" s="3"/>
    </row>
    <row r="512" ht="15.75" customHeight="1">
      <c r="H512" s="3"/>
    </row>
    <row r="513" ht="15.75" customHeight="1">
      <c r="H513" s="3"/>
    </row>
    <row r="514" ht="15.75" customHeight="1">
      <c r="H514" s="3"/>
    </row>
    <row r="515" ht="15.75" customHeight="1">
      <c r="H515" s="3"/>
    </row>
    <row r="516" ht="15.75" customHeight="1">
      <c r="H516" s="3"/>
    </row>
    <row r="517" ht="15.75" customHeight="1">
      <c r="H517" s="3"/>
    </row>
    <row r="518" ht="15.75" customHeight="1">
      <c r="H518" s="3"/>
    </row>
    <row r="519" ht="15.75" customHeight="1">
      <c r="H519" s="3"/>
    </row>
    <row r="520" ht="15.75" customHeight="1">
      <c r="H520" s="3"/>
    </row>
    <row r="521" ht="15.75" customHeight="1">
      <c r="H521" s="3"/>
    </row>
    <row r="522" ht="15.75" customHeight="1">
      <c r="H522" s="3"/>
    </row>
    <row r="523" ht="15.75" customHeight="1">
      <c r="H523" s="3"/>
    </row>
    <row r="524" ht="15.75" customHeight="1">
      <c r="H524" s="3"/>
    </row>
    <row r="525" ht="15.75" customHeight="1">
      <c r="H525" s="3"/>
    </row>
    <row r="526" ht="15.75" customHeight="1">
      <c r="H526" s="3"/>
    </row>
    <row r="527" ht="15.75" customHeight="1">
      <c r="H527" s="3"/>
    </row>
    <row r="528" ht="15.75" customHeight="1">
      <c r="H528" s="3"/>
    </row>
    <row r="529" ht="15.75" customHeight="1">
      <c r="H529" s="3"/>
    </row>
    <row r="530" ht="15.75" customHeight="1">
      <c r="H530" s="3"/>
    </row>
    <row r="531" ht="15.75" customHeight="1">
      <c r="H531" s="3"/>
    </row>
    <row r="532" ht="15.75" customHeight="1">
      <c r="H532" s="3"/>
    </row>
    <row r="533" ht="15.75" customHeight="1">
      <c r="H533" s="3"/>
    </row>
    <row r="534" ht="15.75" customHeight="1">
      <c r="H534" s="3"/>
    </row>
    <row r="535" ht="15.75" customHeight="1">
      <c r="H535" s="3"/>
    </row>
    <row r="536" ht="15.75" customHeight="1">
      <c r="H536" s="3"/>
    </row>
    <row r="537" ht="15.75" customHeight="1">
      <c r="H537" s="3"/>
    </row>
    <row r="538" ht="15.75" customHeight="1">
      <c r="H538" s="3"/>
    </row>
    <row r="539" ht="15.75" customHeight="1">
      <c r="H539" s="3"/>
    </row>
    <row r="540" ht="15.75" customHeight="1">
      <c r="H540" s="3"/>
    </row>
    <row r="541" ht="15.75" customHeight="1">
      <c r="H541" s="3"/>
    </row>
    <row r="542" ht="15.75" customHeight="1">
      <c r="H542" s="3"/>
    </row>
    <row r="543" ht="15.75" customHeight="1">
      <c r="H543" s="3"/>
    </row>
    <row r="544" ht="15.75" customHeight="1">
      <c r="H544" s="3"/>
    </row>
    <row r="545" ht="15.75" customHeight="1">
      <c r="H545" s="3"/>
    </row>
    <row r="546" ht="15.75" customHeight="1">
      <c r="H546" s="3"/>
    </row>
    <row r="547" ht="15.75" customHeight="1">
      <c r="H547" s="3"/>
    </row>
    <row r="548" ht="15.75" customHeight="1">
      <c r="H548" s="3"/>
    </row>
    <row r="549" ht="15.75" customHeight="1">
      <c r="H549" s="3"/>
    </row>
    <row r="550" ht="15.75" customHeight="1">
      <c r="H550" s="3"/>
    </row>
    <row r="551" ht="15.75" customHeight="1">
      <c r="H551" s="3"/>
    </row>
    <row r="552" ht="15.75" customHeight="1">
      <c r="H552" s="3"/>
    </row>
    <row r="553" ht="15.75" customHeight="1">
      <c r="H553" s="3"/>
    </row>
    <row r="554" ht="15.75" customHeight="1">
      <c r="H554" s="3"/>
    </row>
    <row r="555" ht="15.75" customHeight="1">
      <c r="H555" s="3"/>
    </row>
    <row r="556" ht="15.75" customHeight="1">
      <c r="H556" s="3"/>
    </row>
    <row r="557" ht="15.75" customHeight="1">
      <c r="H557" s="3"/>
    </row>
    <row r="558" ht="15.75" customHeight="1">
      <c r="H558" s="3"/>
    </row>
    <row r="559" ht="15.75" customHeight="1">
      <c r="H559" s="3"/>
    </row>
    <row r="560" ht="15.75" customHeight="1">
      <c r="H560" s="3"/>
    </row>
    <row r="561" ht="15.75" customHeight="1">
      <c r="H561" s="3"/>
    </row>
    <row r="562" ht="15.75" customHeight="1">
      <c r="H562" s="3"/>
    </row>
    <row r="563" ht="15.75" customHeight="1">
      <c r="H563" s="3"/>
    </row>
    <row r="564" ht="15.75" customHeight="1">
      <c r="H564" s="3"/>
    </row>
    <row r="565" ht="15.75" customHeight="1">
      <c r="H565" s="3"/>
    </row>
    <row r="566" ht="15.75" customHeight="1">
      <c r="H566" s="3"/>
    </row>
    <row r="567" ht="15.75" customHeight="1">
      <c r="H567" s="3"/>
    </row>
    <row r="568" ht="15.75" customHeight="1">
      <c r="H568" s="3"/>
    </row>
    <row r="569" ht="15.75" customHeight="1">
      <c r="H569" s="3"/>
    </row>
    <row r="570" ht="15.75" customHeight="1">
      <c r="H570" s="3"/>
    </row>
    <row r="571" ht="15.75" customHeight="1">
      <c r="H571" s="3"/>
    </row>
    <row r="572" ht="15.75" customHeight="1">
      <c r="H572" s="3"/>
    </row>
    <row r="573" ht="15.75" customHeight="1">
      <c r="H573" s="3"/>
    </row>
    <row r="574" ht="15.75" customHeight="1">
      <c r="H574" s="3"/>
    </row>
    <row r="575" ht="15.75" customHeight="1">
      <c r="H575" s="3"/>
    </row>
    <row r="576" ht="15.75" customHeight="1">
      <c r="H576" s="3"/>
    </row>
    <row r="577" ht="15.75" customHeight="1">
      <c r="H577" s="3"/>
    </row>
    <row r="578" ht="15.75" customHeight="1">
      <c r="H578" s="3"/>
    </row>
    <row r="579" ht="15.75" customHeight="1">
      <c r="H579" s="3"/>
    </row>
    <row r="580" ht="15.75" customHeight="1">
      <c r="H580" s="3"/>
    </row>
    <row r="581" ht="15.75" customHeight="1">
      <c r="H581" s="3"/>
    </row>
    <row r="582" ht="15.75" customHeight="1">
      <c r="H582" s="3"/>
    </row>
    <row r="583" ht="15.75" customHeight="1">
      <c r="H583" s="3"/>
    </row>
    <row r="584" ht="15.75" customHeight="1">
      <c r="H584" s="3"/>
    </row>
    <row r="585" ht="15.75" customHeight="1">
      <c r="H585" s="3"/>
    </row>
    <row r="586" ht="15.75" customHeight="1">
      <c r="H586" s="3"/>
    </row>
    <row r="587" ht="15.75" customHeight="1">
      <c r="H587" s="3"/>
    </row>
    <row r="588" ht="15.75" customHeight="1">
      <c r="H588" s="3"/>
    </row>
    <row r="589" ht="15.75" customHeight="1">
      <c r="H589" s="3"/>
    </row>
    <row r="590" ht="15.75" customHeight="1">
      <c r="H590" s="3"/>
    </row>
    <row r="591" ht="15.75" customHeight="1">
      <c r="H591" s="3"/>
    </row>
    <row r="592" ht="15.75" customHeight="1">
      <c r="H592" s="3"/>
    </row>
    <row r="593" ht="15.75" customHeight="1">
      <c r="H593" s="3"/>
    </row>
    <row r="594" ht="15.75" customHeight="1">
      <c r="H594" s="3"/>
    </row>
    <row r="595" ht="15.75" customHeight="1">
      <c r="H595" s="3"/>
    </row>
    <row r="596" ht="15.75" customHeight="1">
      <c r="H596" s="3"/>
    </row>
    <row r="597" ht="15.75" customHeight="1">
      <c r="H597" s="3"/>
    </row>
    <row r="598" ht="15.75" customHeight="1">
      <c r="H598" s="3"/>
    </row>
    <row r="599" ht="15.75" customHeight="1">
      <c r="H599" s="3"/>
    </row>
    <row r="600" ht="15.75" customHeight="1">
      <c r="H600" s="3"/>
    </row>
    <row r="601" ht="15.75" customHeight="1">
      <c r="H601" s="3"/>
    </row>
    <row r="602" ht="15.75" customHeight="1">
      <c r="H602" s="3"/>
    </row>
    <row r="603" ht="15.75" customHeight="1">
      <c r="H603" s="3"/>
    </row>
    <row r="604" ht="15.75" customHeight="1">
      <c r="H604" s="3"/>
    </row>
    <row r="605" ht="15.75" customHeight="1">
      <c r="H605" s="3"/>
    </row>
    <row r="606" ht="15.75" customHeight="1">
      <c r="H606" s="3"/>
    </row>
    <row r="607" ht="15.75" customHeight="1">
      <c r="H607" s="3"/>
    </row>
    <row r="608" ht="15.75" customHeight="1">
      <c r="H608" s="3"/>
    </row>
    <row r="609" ht="15.75" customHeight="1">
      <c r="H609" s="3"/>
    </row>
    <row r="610" ht="15.75" customHeight="1">
      <c r="H610" s="3"/>
    </row>
    <row r="611" ht="15.75" customHeight="1">
      <c r="H611" s="3"/>
    </row>
    <row r="612" ht="15.75" customHeight="1">
      <c r="H612" s="3"/>
    </row>
    <row r="613" ht="15.75" customHeight="1">
      <c r="H613" s="3"/>
    </row>
    <row r="614" ht="15.75" customHeight="1">
      <c r="H614" s="3"/>
    </row>
    <row r="615" ht="15.75" customHeight="1">
      <c r="H615" s="3"/>
    </row>
    <row r="616" ht="15.75" customHeight="1">
      <c r="H616" s="3"/>
    </row>
    <row r="617" ht="15.75" customHeight="1">
      <c r="H617" s="3"/>
    </row>
    <row r="618" ht="15.75" customHeight="1">
      <c r="H618" s="3"/>
    </row>
    <row r="619" ht="15.75" customHeight="1">
      <c r="H619" s="3"/>
    </row>
    <row r="620" ht="15.75" customHeight="1">
      <c r="H620" s="3"/>
    </row>
    <row r="621" ht="15.75" customHeight="1">
      <c r="H621" s="3"/>
    </row>
    <row r="622" ht="15.75" customHeight="1">
      <c r="H622" s="3"/>
    </row>
    <row r="623" ht="15.75" customHeight="1">
      <c r="H623" s="3"/>
    </row>
    <row r="624" ht="15.75" customHeight="1">
      <c r="H624" s="3"/>
    </row>
    <row r="625" ht="15.75" customHeight="1">
      <c r="H625" s="3"/>
    </row>
    <row r="626" ht="15.75" customHeight="1">
      <c r="H626" s="3"/>
    </row>
    <row r="627" ht="15.75" customHeight="1">
      <c r="H627" s="3"/>
    </row>
    <row r="628" ht="15.75" customHeight="1">
      <c r="H628" s="3"/>
    </row>
    <row r="629" ht="15.75" customHeight="1">
      <c r="H629" s="3"/>
    </row>
    <row r="630" ht="15.75" customHeight="1">
      <c r="H630" s="3"/>
    </row>
    <row r="631" ht="15.75" customHeight="1">
      <c r="H631" s="3"/>
    </row>
    <row r="632" ht="15.75" customHeight="1">
      <c r="H632" s="3"/>
    </row>
    <row r="633" ht="15.75" customHeight="1">
      <c r="H633" s="3"/>
    </row>
    <row r="634" ht="15.75" customHeight="1">
      <c r="H634" s="3"/>
    </row>
    <row r="635" ht="15.75" customHeight="1">
      <c r="H635" s="3"/>
    </row>
    <row r="636" ht="15.75" customHeight="1">
      <c r="H636" s="3"/>
    </row>
    <row r="637" ht="15.75" customHeight="1">
      <c r="H637" s="3"/>
    </row>
    <row r="638" ht="15.75" customHeight="1">
      <c r="H638" s="3"/>
    </row>
    <row r="639" ht="15.75" customHeight="1">
      <c r="H639" s="3"/>
    </row>
    <row r="640" ht="15.75" customHeight="1">
      <c r="H640" s="3"/>
    </row>
    <row r="641" ht="15.75" customHeight="1">
      <c r="H641" s="3"/>
    </row>
    <row r="642" ht="15.75" customHeight="1">
      <c r="H642" s="3"/>
    </row>
    <row r="643" ht="15.75" customHeight="1">
      <c r="H643" s="3"/>
    </row>
    <row r="644" ht="15.75" customHeight="1">
      <c r="H644" s="3"/>
    </row>
    <row r="645" ht="15.75" customHeight="1">
      <c r="H645" s="3"/>
    </row>
    <row r="646" ht="15.75" customHeight="1">
      <c r="H646" s="3"/>
    </row>
    <row r="647" ht="15.75" customHeight="1">
      <c r="H647" s="3"/>
    </row>
    <row r="648" ht="15.75" customHeight="1">
      <c r="H648" s="3"/>
    </row>
    <row r="649" ht="15.75" customHeight="1">
      <c r="H649" s="3"/>
    </row>
    <row r="650" ht="15.75" customHeight="1">
      <c r="H650" s="3"/>
    </row>
    <row r="651" ht="15.75" customHeight="1">
      <c r="H651" s="3"/>
    </row>
    <row r="652" ht="15.75" customHeight="1">
      <c r="H652" s="3"/>
    </row>
    <row r="653" ht="15.75" customHeight="1">
      <c r="H653" s="3"/>
    </row>
    <row r="654" ht="15.75" customHeight="1">
      <c r="H654" s="3"/>
    </row>
    <row r="655" ht="15.75" customHeight="1">
      <c r="H655" s="3"/>
    </row>
    <row r="656" ht="15.75" customHeight="1">
      <c r="H656" s="3"/>
    </row>
    <row r="657" ht="15.75" customHeight="1">
      <c r="H657" s="3"/>
    </row>
    <row r="658" ht="15.75" customHeight="1">
      <c r="H658" s="3"/>
    </row>
    <row r="659" ht="15.75" customHeight="1">
      <c r="H659" s="3"/>
    </row>
    <row r="660" ht="15.75" customHeight="1">
      <c r="H660" s="3"/>
    </row>
    <row r="661" ht="15.75" customHeight="1">
      <c r="H661" s="3"/>
    </row>
    <row r="662" ht="15.75" customHeight="1">
      <c r="H662" s="3"/>
    </row>
    <row r="663" ht="15.75" customHeight="1">
      <c r="H663" s="3"/>
    </row>
    <row r="664" ht="15.75" customHeight="1">
      <c r="H664" s="3"/>
    </row>
    <row r="665" ht="15.75" customHeight="1">
      <c r="H665" s="3"/>
    </row>
    <row r="666" ht="15.75" customHeight="1">
      <c r="H666" s="3"/>
    </row>
    <row r="667" ht="15.75" customHeight="1">
      <c r="H667" s="3"/>
    </row>
    <row r="668" ht="15.75" customHeight="1">
      <c r="H668" s="3"/>
    </row>
    <row r="669" ht="15.75" customHeight="1">
      <c r="H669" s="3"/>
    </row>
    <row r="670" ht="15.75" customHeight="1">
      <c r="H670" s="3"/>
    </row>
    <row r="671" ht="15.75" customHeight="1">
      <c r="H671" s="3"/>
    </row>
    <row r="672" ht="15.75" customHeight="1">
      <c r="H672" s="3"/>
    </row>
    <row r="673" ht="15.75" customHeight="1">
      <c r="H673" s="3"/>
    </row>
    <row r="674" ht="15.75" customHeight="1">
      <c r="H674" s="3"/>
    </row>
    <row r="675" ht="15.75" customHeight="1">
      <c r="H675" s="3"/>
    </row>
    <row r="676" ht="15.75" customHeight="1">
      <c r="H676" s="3"/>
    </row>
    <row r="677" ht="15.75" customHeight="1">
      <c r="H677" s="3"/>
    </row>
    <row r="678" ht="15.75" customHeight="1">
      <c r="H678" s="3"/>
    </row>
    <row r="679" ht="15.75" customHeight="1">
      <c r="H679" s="3"/>
    </row>
    <row r="680" ht="15.75" customHeight="1">
      <c r="H680" s="3"/>
    </row>
    <row r="681" ht="15.75" customHeight="1">
      <c r="H681" s="3"/>
    </row>
    <row r="682" ht="15.75" customHeight="1">
      <c r="H682" s="3"/>
    </row>
    <row r="683" ht="15.75" customHeight="1">
      <c r="H683" s="3"/>
    </row>
    <row r="684" ht="15.75" customHeight="1">
      <c r="H684" s="3"/>
    </row>
    <row r="685" ht="15.75" customHeight="1">
      <c r="H685" s="3"/>
    </row>
    <row r="686" ht="15.75" customHeight="1">
      <c r="H686" s="3"/>
    </row>
    <row r="687" ht="15.75" customHeight="1">
      <c r="H687" s="3"/>
    </row>
    <row r="688" ht="15.75" customHeight="1">
      <c r="H688" s="3"/>
    </row>
    <row r="689" ht="15.75" customHeight="1">
      <c r="H689" s="3"/>
    </row>
    <row r="690" ht="15.75" customHeight="1">
      <c r="H690" s="3"/>
    </row>
    <row r="691" ht="15.75" customHeight="1">
      <c r="H691" s="3"/>
    </row>
    <row r="692" ht="15.75" customHeight="1">
      <c r="H692" s="3"/>
    </row>
    <row r="693" ht="15.75" customHeight="1">
      <c r="H693" s="3"/>
    </row>
    <row r="694" ht="15.75" customHeight="1">
      <c r="H694" s="3"/>
    </row>
    <row r="695" ht="15.75" customHeight="1">
      <c r="H695" s="3"/>
    </row>
    <row r="696" ht="15.75" customHeight="1">
      <c r="H696" s="3"/>
    </row>
    <row r="697" ht="15.75" customHeight="1">
      <c r="H697" s="3"/>
    </row>
    <row r="698" ht="15.75" customHeight="1">
      <c r="H698" s="3"/>
    </row>
    <row r="699" ht="15.75" customHeight="1">
      <c r="H699" s="3"/>
    </row>
    <row r="700" ht="15.75" customHeight="1">
      <c r="H700" s="3"/>
    </row>
    <row r="701" ht="15.75" customHeight="1">
      <c r="H701" s="3"/>
    </row>
    <row r="702" ht="15.75" customHeight="1">
      <c r="H702" s="3"/>
    </row>
    <row r="703" ht="15.75" customHeight="1">
      <c r="H703" s="3"/>
    </row>
    <row r="704" ht="15.75" customHeight="1">
      <c r="H704" s="3"/>
    </row>
    <row r="705" ht="15.75" customHeight="1">
      <c r="H705" s="3"/>
    </row>
    <row r="706" ht="15.75" customHeight="1">
      <c r="H706" s="3"/>
    </row>
    <row r="707" ht="15.75" customHeight="1">
      <c r="H707" s="3"/>
    </row>
    <row r="708" ht="15.75" customHeight="1">
      <c r="H708" s="3"/>
    </row>
    <row r="709" ht="15.75" customHeight="1">
      <c r="H709" s="3"/>
    </row>
    <row r="710" ht="15.75" customHeight="1">
      <c r="H710" s="3"/>
    </row>
    <row r="711" ht="15.75" customHeight="1">
      <c r="H711" s="3"/>
    </row>
    <row r="712" ht="15.75" customHeight="1">
      <c r="H712" s="3"/>
    </row>
    <row r="713" ht="15.75" customHeight="1">
      <c r="H713" s="3"/>
    </row>
    <row r="714" ht="15.75" customHeight="1">
      <c r="H714" s="3"/>
    </row>
    <row r="715" ht="15.75" customHeight="1">
      <c r="H715" s="3"/>
    </row>
    <row r="716" ht="15.75" customHeight="1">
      <c r="H716" s="3"/>
    </row>
    <row r="717" ht="15.75" customHeight="1">
      <c r="H717" s="3"/>
    </row>
    <row r="718" ht="15.75" customHeight="1">
      <c r="H718" s="3"/>
    </row>
    <row r="719" ht="15.75" customHeight="1">
      <c r="H719" s="3"/>
    </row>
    <row r="720" ht="15.75" customHeight="1">
      <c r="H720" s="3"/>
    </row>
    <row r="721" ht="15.75" customHeight="1">
      <c r="H721" s="3"/>
    </row>
    <row r="722" ht="15.75" customHeight="1">
      <c r="H722" s="3"/>
    </row>
    <row r="723" ht="15.75" customHeight="1">
      <c r="H723" s="3"/>
    </row>
    <row r="724" ht="15.75" customHeight="1">
      <c r="H724" s="3"/>
    </row>
    <row r="725" ht="15.75" customHeight="1">
      <c r="H725" s="3"/>
    </row>
    <row r="726" ht="15.75" customHeight="1">
      <c r="H726" s="3"/>
    </row>
    <row r="727" ht="15.75" customHeight="1">
      <c r="H727" s="3"/>
    </row>
    <row r="728" ht="15.75" customHeight="1">
      <c r="H728" s="3"/>
    </row>
    <row r="729" ht="15.75" customHeight="1">
      <c r="H729" s="3"/>
    </row>
    <row r="730" ht="15.75" customHeight="1">
      <c r="H730" s="3"/>
    </row>
    <row r="731" ht="15.75" customHeight="1">
      <c r="H731" s="3"/>
    </row>
    <row r="732" ht="15.75" customHeight="1">
      <c r="H732" s="3"/>
    </row>
    <row r="733" ht="15.75" customHeight="1">
      <c r="H733" s="3"/>
    </row>
    <row r="734" ht="15.75" customHeight="1">
      <c r="H734" s="3"/>
    </row>
    <row r="735" ht="15.75" customHeight="1">
      <c r="H735" s="3"/>
    </row>
    <row r="736" ht="15.75" customHeight="1">
      <c r="H736" s="3"/>
    </row>
    <row r="737" ht="15.75" customHeight="1">
      <c r="H737" s="3"/>
    </row>
    <row r="738" ht="15.75" customHeight="1">
      <c r="H738" s="3"/>
    </row>
    <row r="739" ht="15.75" customHeight="1">
      <c r="H739" s="3"/>
    </row>
    <row r="740" ht="15.75" customHeight="1">
      <c r="H740" s="3"/>
    </row>
    <row r="741" ht="15.75" customHeight="1">
      <c r="H741" s="3"/>
    </row>
    <row r="742" ht="15.75" customHeight="1">
      <c r="H742" s="3"/>
    </row>
    <row r="743" ht="15.75" customHeight="1">
      <c r="H743" s="3"/>
    </row>
    <row r="744" ht="15.75" customHeight="1">
      <c r="H744" s="3"/>
    </row>
    <row r="745" ht="15.75" customHeight="1">
      <c r="H745" s="3"/>
    </row>
    <row r="746" ht="15.75" customHeight="1">
      <c r="H746" s="3"/>
    </row>
    <row r="747" ht="15.75" customHeight="1">
      <c r="H747" s="3"/>
    </row>
    <row r="748" ht="15.75" customHeight="1">
      <c r="H748" s="3"/>
    </row>
    <row r="749" ht="15.75" customHeight="1">
      <c r="H749" s="3"/>
    </row>
    <row r="750" ht="15.75" customHeight="1">
      <c r="H750" s="3"/>
    </row>
    <row r="751" ht="15.75" customHeight="1">
      <c r="H751" s="3"/>
    </row>
    <row r="752" ht="15.75" customHeight="1">
      <c r="H752" s="3"/>
    </row>
    <row r="753" ht="15.75" customHeight="1">
      <c r="H753" s="3"/>
    </row>
    <row r="754" ht="15.75" customHeight="1">
      <c r="H754" s="3"/>
    </row>
    <row r="755" ht="15.75" customHeight="1">
      <c r="H755" s="3"/>
    </row>
    <row r="756" ht="15.75" customHeight="1">
      <c r="H756" s="3"/>
    </row>
    <row r="757" ht="15.75" customHeight="1">
      <c r="H757" s="3"/>
    </row>
    <row r="758" ht="15.75" customHeight="1">
      <c r="H758" s="3"/>
    </row>
    <row r="759" ht="15.75" customHeight="1">
      <c r="H759" s="3"/>
    </row>
    <row r="760" ht="15.75" customHeight="1">
      <c r="H760" s="3"/>
    </row>
    <row r="761" ht="15.75" customHeight="1">
      <c r="H761" s="3"/>
    </row>
    <row r="762" ht="15.75" customHeight="1">
      <c r="H762" s="3"/>
    </row>
    <row r="763" ht="15.75" customHeight="1">
      <c r="H763" s="3"/>
    </row>
    <row r="764" ht="15.75" customHeight="1">
      <c r="H764" s="3"/>
    </row>
    <row r="765" ht="15.75" customHeight="1">
      <c r="H765" s="3"/>
    </row>
    <row r="766" ht="15.75" customHeight="1">
      <c r="H766" s="3"/>
    </row>
    <row r="767" ht="15.75" customHeight="1">
      <c r="H767" s="3"/>
    </row>
    <row r="768" ht="15.75" customHeight="1">
      <c r="H768" s="3"/>
    </row>
    <row r="769" ht="15.75" customHeight="1">
      <c r="H769" s="3"/>
    </row>
    <row r="770" ht="15.75" customHeight="1">
      <c r="H770" s="3"/>
    </row>
    <row r="771" ht="15.75" customHeight="1">
      <c r="H771" s="3"/>
    </row>
    <row r="772" ht="15.75" customHeight="1">
      <c r="H772" s="3"/>
    </row>
    <row r="773" ht="15.75" customHeight="1">
      <c r="H773" s="3"/>
    </row>
    <row r="774" ht="15.75" customHeight="1">
      <c r="H774" s="3"/>
    </row>
    <row r="775" ht="15.75" customHeight="1">
      <c r="H775" s="3"/>
    </row>
    <row r="776" ht="15.75" customHeight="1">
      <c r="H776" s="3"/>
    </row>
    <row r="777" ht="15.75" customHeight="1">
      <c r="H777" s="3"/>
    </row>
    <row r="778" ht="15.75" customHeight="1">
      <c r="H778" s="3"/>
    </row>
    <row r="779" ht="15.75" customHeight="1">
      <c r="H779" s="3"/>
    </row>
    <row r="780" ht="15.75" customHeight="1">
      <c r="H780" s="3"/>
    </row>
    <row r="781" ht="15.75" customHeight="1">
      <c r="H781" s="3"/>
    </row>
    <row r="782" ht="15.75" customHeight="1">
      <c r="H782" s="3"/>
    </row>
    <row r="783" ht="15.75" customHeight="1">
      <c r="H783" s="3"/>
    </row>
    <row r="784" ht="15.75" customHeight="1">
      <c r="H784" s="3"/>
    </row>
    <row r="785" ht="15.75" customHeight="1">
      <c r="H785" s="3"/>
    </row>
    <row r="786" ht="15.75" customHeight="1">
      <c r="H786" s="3"/>
    </row>
    <row r="787" ht="15.75" customHeight="1">
      <c r="H787" s="3"/>
    </row>
    <row r="788" ht="15.75" customHeight="1">
      <c r="H788" s="3"/>
    </row>
    <row r="789" ht="15.75" customHeight="1">
      <c r="H789" s="3"/>
    </row>
    <row r="790" ht="15.75" customHeight="1">
      <c r="H790" s="3"/>
    </row>
    <row r="791" ht="15.75" customHeight="1">
      <c r="H791" s="3"/>
    </row>
    <row r="792" ht="15.75" customHeight="1">
      <c r="H792" s="3"/>
    </row>
    <row r="793" ht="15.75" customHeight="1">
      <c r="H793" s="3"/>
    </row>
    <row r="794" ht="15.75" customHeight="1">
      <c r="H794" s="3"/>
    </row>
    <row r="795" ht="15.75" customHeight="1">
      <c r="H795" s="3"/>
    </row>
    <row r="796" ht="15.75" customHeight="1">
      <c r="H796" s="3"/>
    </row>
    <row r="797" ht="15.75" customHeight="1">
      <c r="H797" s="3"/>
    </row>
    <row r="798" ht="15.75" customHeight="1">
      <c r="H798" s="3"/>
    </row>
    <row r="799" ht="15.75" customHeight="1">
      <c r="H799" s="3"/>
    </row>
    <row r="800" ht="15.75" customHeight="1">
      <c r="H800" s="3"/>
    </row>
    <row r="801" ht="15.75" customHeight="1">
      <c r="H801" s="3"/>
    </row>
    <row r="802" ht="15.75" customHeight="1">
      <c r="H802" s="3"/>
    </row>
    <row r="803" ht="15.75" customHeight="1">
      <c r="H803" s="3"/>
    </row>
    <row r="804" ht="15.75" customHeight="1">
      <c r="H804" s="3"/>
    </row>
    <row r="805" ht="15.75" customHeight="1">
      <c r="H805" s="3"/>
    </row>
    <row r="806" ht="15.75" customHeight="1">
      <c r="H806" s="3"/>
    </row>
    <row r="807" ht="15.75" customHeight="1">
      <c r="H807" s="3"/>
    </row>
    <row r="808" ht="15.75" customHeight="1">
      <c r="H808" s="3"/>
    </row>
    <row r="809" ht="15.75" customHeight="1">
      <c r="H809" s="3"/>
    </row>
    <row r="810" ht="15.75" customHeight="1">
      <c r="H810" s="3"/>
    </row>
    <row r="811" ht="15.75" customHeight="1">
      <c r="H811" s="3"/>
    </row>
    <row r="812" ht="15.75" customHeight="1">
      <c r="H812" s="3"/>
    </row>
    <row r="813" ht="15.75" customHeight="1">
      <c r="H813" s="3"/>
    </row>
    <row r="814" ht="15.75" customHeight="1">
      <c r="H814" s="3"/>
    </row>
    <row r="815" ht="15.75" customHeight="1">
      <c r="H815" s="3"/>
    </row>
    <row r="816" ht="15.75" customHeight="1">
      <c r="H816" s="3"/>
    </row>
    <row r="817" ht="15.75" customHeight="1">
      <c r="H817" s="3"/>
    </row>
    <row r="818" ht="15.75" customHeight="1">
      <c r="H818" s="3"/>
    </row>
    <row r="819" ht="15.75" customHeight="1">
      <c r="H819" s="3"/>
    </row>
    <row r="820" ht="15.75" customHeight="1">
      <c r="H820" s="3"/>
    </row>
    <row r="821" ht="15.75" customHeight="1">
      <c r="H821" s="3"/>
    </row>
    <row r="822" ht="15.75" customHeight="1">
      <c r="H822" s="3"/>
    </row>
    <row r="823" ht="15.75" customHeight="1">
      <c r="H823" s="3"/>
    </row>
    <row r="824" ht="15.75" customHeight="1">
      <c r="H824" s="3"/>
    </row>
    <row r="825" ht="15.75" customHeight="1">
      <c r="H825" s="3"/>
    </row>
    <row r="826" ht="15.75" customHeight="1">
      <c r="H826" s="3"/>
    </row>
    <row r="827" ht="15.75" customHeight="1">
      <c r="H827" s="3"/>
    </row>
    <row r="828" ht="15.75" customHeight="1">
      <c r="H828" s="3"/>
    </row>
    <row r="829" ht="15.75" customHeight="1">
      <c r="H829" s="3"/>
    </row>
    <row r="830" ht="15.75" customHeight="1">
      <c r="H830" s="3"/>
    </row>
    <row r="831" ht="15.75" customHeight="1">
      <c r="H831" s="3"/>
    </row>
    <row r="832" ht="15.75" customHeight="1">
      <c r="H832" s="3"/>
    </row>
    <row r="833" ht="15.75" customHeight="1">
      <c r="H833" s="3"/>
    </row>
    <row r="834" ht="15.75" customHeight="1">
      <c r="H834" s="3"/>
    </row>
    <row r="835" ht="15.75" customHeight="1">
      <c r="H835" s="3"/>
    </row>
    <row r="836" ht="15.75" customHeight="1">
      <c r="H836" s="3"/>
    </row>
    <row r="837" ht="15.75" customHeight="1">
      <c r="H837" s="3"/>
    </row>
    <row r="838" ht="15.75" customHeight="1">
      <c r="H838" s="3"/>
    </row>
    <row r="839" ht="15.75" customHeight="1">
      <c r="H839" s="3"/>
    </row>
    <row r="840" ht="15.75" customHeight="1">
      <c r="H840" s="3"/>
    </row>
    <row r="841" ht="15.75" customHeight="1">
      <c r="H841" s="3"/>
    </row>
    <row r="842" ht="15.75" customHeight="1">
      <c r="H842" s="3"/>
    </row>
    <row r="843" ht="15.75" customHeight="1">
      <c r="H843" s="3"/>
    </row>
    <row r="844" ht="15.75" customHeight="1">
      <c r="H844" s="3"/>
    </row>
    <row r="845" ht="15.75" customHeight="1">
      <c r="H845" s="3"/>
    </row>
    <row r="846" ht="15.75" customHeight="1">
      <c r="H846" s="3"/>
    </row>
    <row r="847" ht="15.75" customHeight="1">
      <c r="H847" s="3"/>
    </row>
    <row r="848" ht="15.75" customHeight="1">
      <c r="H848" s="3"/>
    </row>
    <row r="849" ht="15.75" customHeight="1">
      <c r="H849" s="3"/>
    </row>
    <row r="850" ht="15.75" customHeight="1">
      <c r="H850" s="3"/>
    </row>
    <row r="851" ht="15.75" customHeight="1">
      <c r="H851" s="3"/>
    </row>
    <row r="852" ht="15.75" customHeight="1">
      <c r="H852" s="3"/>
    </row>
    <row r="853" ht="15.75" customHeight="1">
      <c r="H853" s="3"/>
    </row>
    <row r="854" ht="15.75" customHeight="1">
      <c r="H854" s="3"/>
    </row>
    <row r="855" ht="15.75" customHeight="1">
      <c r="H855" s="3"/>
    </row>
    <row r="856" ht="15.75" customHeight="1">
      <c r="H856" s="3"/>
    </row>
    <row r="857" ht="15.75" customHeight="1">
      <c r="H857" s="3"/>
    </row>
    <row r="858" ht="15.75" customHeight="1">
      <c r="H858" s="3"/>
    </row>
    <row r="859" ht="15.75" customHeight="1">
      <c r="H859" s="3"/>
    </row>
    <row r="860" ht="15.75" customHeight="1">
      <c r="H860" s="3"/>
    </row>
    <row r="861" ht="15.75" customHeight="1">
      <c r="H861" s="3"/>
    </row>
    <row r="862" ht="15.75" customHeight="1">
      <c r="H862" s="3"/>
    </row>
    <row r="863" ht="15.75" customHeight="1">
      <c r="H863" s="3"/>
    </row>
    <row r="864" ht="15.75" customHeight="1">
      <c r="H864" s="3"/>
    </row>
    <row r="865" ht="15.75" customHeight="1">
      <c r="H865" s="3"/>
    </row>
    <row r="866" ht="15.75" customHeight="1">
      <c r="H866" s="3"/>
    </row>
    <row r="867" ht="15.75" customHeight="1">
      <c r="H867" s="3"/>
    </row>
    <row r="868" ht="15.75" customHeight="1">
      <c r="H868" s="3"/>
    </row>
    <row r="869" ht="15.75" customHeight="1">
      <c r="H869" s="3"/>
    </row>
    <row r="870" ht="15.75" customHeight="1">
      <c r="H870" s="3"/>
    </row>
    <row r="871" ht="15.75" customHeight="1">
      <c r="H871" s="3"/>
    </row>
    <row r="872" ht="15.75" customHeight="1">
      <c r="H872" s="3"/>
    </row>
    <row r="873" ht="15.75" customHeight="1">
      <c r="H873" s="3"/>
    </row>
    <row r="874" ht="15.75" customHeight="1">
      <c r="H874" s="3"/>
    </row>
    <row r="875" ht="15.75" customHeight="1">
      <c r="H875" s="3"/>
    </row>
    <row r="876" ht="15.75" customHeight="1">
      <c r="H876" s="3"/>
    </row>
    <row r="877" ht="15.75" customHeight="1">
      <c r="H877" s="3"/>
    </row>
    <row r="878" ht="15.75" customHeight="1">
      <c r="H878" s="3"/>
    </row>
    <row r="879" ht="15.75" customHeight="1">
      <c r="H879" s="3"/>
    </row>
    <row r="880" ht="15.75" customHeight="1">
      <c r="H880" s="3"/>
    </row>
    <row r="881" ht="15.75" customHeight="1">
      <c r="H881" s="3"/>
    </row>
    <row r="882" ht="15.75" customHeight="1">
      <c r="H882" s="3"/>
    </row>
    <row r="883" ht="15.75" customHeight="1">
      <c r="H883" s="3"/>
    </row>
    <row r="884" ht="15.75" customHeight="1">
      <c r="H884" s="3"/>
    </row>
    <row r="885" ht="15.75" customHeight="1">
      <c r="H885" s="3"/>
    </row>
    <row r="886" ht="15.75" customHeight="1">
      <c r="H886" s="3"/>
    </row>
    <row r="887" ht="15.75" customHeight="1">
      <c r="H887" s="3"/>
    </row>
    <row r="888" ht="15.75" customHeight="1">
      <c r="H888" s="3"/>
    </row>
    <row r="889" ht="15.75" customHeight="1">
      <c r="H889" s="3"/>
    </row>
    <row r="890" ht="15.75" customHeight="1">
      <c r="H890" s="3"/>
    </row>
    <row r="891" ht="15.75" customHeight="1">
      <c r="H891" s="3"/>
    </row>
    <row r="892" ht="15.75" customHeight="1">
      <c r="H892" s="3"/>
    </row>
    <row r="893" ht="15.75" customHeight="1">
      <c r="H893" s="3"/>
    </row>
    <row r="894" ht="15.75" customHeight="1">
      <c r="H894" s="3"/>
    </row>
    <row r="895" ht="15.75" customHeight="1">
      <c r="H895" s="3"/>
    </row>
    <row r="896" ht="15.75" customHeight="1">
      <c r="H896" s="3"/>
    </row>
    <row r="897" ht="15.75" customHeight="1">
      <c r="H897" s="3"/>
    </row>
    <row r="898" ht="15.75" customHeight="1">
      <c r="H898" s="3"/>
    </row>
    <row r="899" ht="15.75" customHeight="1">
      <c r="H899" s="3"/>
    </row>
    <row r="900" ht="15.75" customHeight="1">
      <c r="H900" s="3"/>
    </row>
    <row r="901" ht="15.75" customHeight="1">
      <c r="H901" s="3"/>
    </row>
    <row r="902" ht="15.75" customHeight="1">
      <c r="H902" s="3"/>
    </row>
    <row r="903" ht="15.75" customHeight="1">
      <c r="H903" s="3"/>
    </row>
    <row r="904" ht="15.75" customHeight="1">
      <c r="H904" s="3"/>
    </row>
    <row r="905" ht="15.75" customHeight="1">
      <c r="H905" s="3"/>
    </row>
    <row r="906" ht="15.75" customHeight="1">
      <c r="H906" s="3"/>
    </row>
    <row r="907" ht="15.75" customHeight="1">
      <c r="H907" s="3"/>
    </row>
    <row r="908" ht="15.75" customHeight="1">
      <c r="H908" s="3"/>
    </row>
    <row r="909" ht="15.75" customHeight="1">
      <c r="H909" s="3"/>
    </row>
    <row r="910" ht="15.75" customHeight="1">
      <c r="H910" s="3"/>
    </row>
    <row r="911" ht="15.75" customHeight="1">
      <c r="H911" s="3"/>
    </row>
    <row r="912" ht="15.75" customHeight="1">
      <c r="H912" s="3"/>
    </row>
    <row r="913" ht="15.75" customHeight="1">
      <c r="H913" s="3"/>
    </row>
    <row r="914" ht="15.75" customHeight="1">
      <c r="H914" s="3"/>
    </row>
    <row r="915" ht="15.75" customHeight="1">
      <c r="H915" s="3"/>
    </row>
    <row r="916" ht="15.75" customHeight="1">
      <c r="H916" s="3"/>
    </row>
    <row r="917" ht="15.75" customHeight="1">
      <c r="H917" s="3"/>
    </row>
    <row r="918" ht="15.75" customHeight="1">
      <c r="H918" s="3"/>
    </row>
    <row r="919" ht="15.75" customHeight="1">
      <c r="H919" s="3"/>
    </row>
    <row r="920" ht="15.75" customHeight="1">
      <c r="H920" s="3"/>
    </row>
    <row r="921" ht="15.75" customHeight="1">
      <c r="H921" s="3"/>
    </row>
    <row r="922" ht="15.75" customHeight="1">
      <c r="H922" s="3"/>
    </row>
    <row r="923" ht="15.75" customHeight="1">
      <c r="H923" s="3"/>
    </row>
    <row r="924" ht="15.75" customHeight="1">
      <c r="H924" s="3"/>
    </row>
    <row r="925" ht="15.75" customHeight="1">
      <c r="H925" s="3"/>
    </row>
    <row r="926" ht="15.75" customHeight="1">
      <c r="H926" s="3"/>
    </row>
    <row r="927" ht="15.75" customHeight="1">
      <c r="H927" s="3"/>
    </row>
    <row r="928" ht="15.75" customHeight="1">
      <c r="H928" s="3"/>
    </row>
    <row r="929" ht="15.75" customHeight="1">
      <c r="H929" s="3"/>
    </row>
    <row r="930" ht="15.75" customHeight="1">
      <c r="H930" s="3"/>
    </row>
    <row r="931" ht="15.75" customHeight="1">
      <c r="H931" s="3"/>
    </row>
    <row r="932" ht="15.75" customHeight="1">
      <c r="H932" s="3"/>
    </row>
    <row r="933" ht="15.75" customHeight="1">
      <c r="H933" s="3"/>
    </row>
    <row r="934" ht="15.75" customHeight="1">
      <c r="H934" s="3"/>
    </row>
    <row r="935" ht="15.75" customHeight="1">
      <c r="H935" s="3"/>
    </row>
    <row r="936" ht="15.75" customHeight="1">
      <c r="H936" s="3"/>
    </row>
    <row r="937" ht="15.75" customHeight="1">
      <c r="H937" s="3"/>
    </row>
    <row r="938" ht="15.75" customHeight="1">
      <c r="H938" s="3"/>
    </row>
    <row r="939" ht="15.75" customHeight="1">
      <c r="H939" s="3"/>
    </row>
    <row r="940" ht="15.75" customHeight="1">
      <c r="H940" s="3"/>
    </row>
    <row r="941" ht="15.75" customHeight="1">
      <c r="H941" s="3"/>
    </row>
    <row r="942" ht="15.75" customHeight="1">
      <c r="H942" s="3"/>
    </row>
    <row r="943" ht="15.75" customHeight="1">
      <c r="H943" s="3"/>
    </row>
    <row r="944" ht="15.75" customHeight="1">
      <c r="H944" s="3"/>
    </row>
    <row r="945" ht="15.75" customHeight="1">
      <c r="H945" s="3"/>
    </row>
    <row r="946" ht="15.75" customHeight="1">
      <c r="H946" s="3"/>
    </row>
    <row r="947" ht="15.75" customHeight="1">
      <c r="H947" s="3"/>
    </row>
    <row r="948" ht="15.75" customHeight="1">
      <c r="H948" s="3"/>
    </row>
    <row r="949" ht="15.75" customHeight="1">
      <c r="H949" s="3"/>
    </row>
    <row r="950" ht="15.75" customHeight="1">
      <c r="H950" s="3"/>
    </row>
    <row r="951" ht="15.75" customHeight="1">
      <c r="H951" s="3"/>
    </row>
    <row r="952" ht="15.75" customHeight="1">
      <c r="H952" s="3"/>
    </row>
    <row r="953" ht="15.75" customHeight="1">
      <c r="H953" s="3"/>
    </row>
    <row r="954" ht="15.75" customHeight="1">
      <c r="H954" s="3"/>
    </row>
    <row r="955" ht="15.75" customHeight="1">
      <c r="H955" s="3"/>
    </row>
    <row r="956" ht="15.75" customHeight="1">
      <c r="H956" s="3"/>
    </row>
    <row r="957" ht="15.75" customHeight="1">
      <c r="H957" s="3"/>
    </row>
    <row r="958" ht="15.75" customHeight="1">
      <c r="H958" s="3"/>
    </row>
    <row r="959" ht="15.75" customHeight="1">
      <c r="H959" s="3"/>
    </row>
    <row r="960" ht="15.75" customHeight="1">
      <c r="H960" s="3"/>
    </row>
    <row r="961" ht="15.75" customHeight="1">
      <c r="H961" s="3"/>
    </row>
    <row r="962" ht="15.75" customHeight="1">
      <c r="H962" s="3"/>
    </row>
    <row r="963" ht="15.75" customHeight="1">
      <c r="H963" s="3"/>
    </row>
    <row r="964" ht="15.75" customHeight="1">
      <c r="H964" s="3"/>
    </row>
    <row r="965" ht="15.75" customHeight="1">
      <c r="H965" s="3"/>
    </row>
    <row r="966" ht="15.75" customHeight="1">
      <c r="H966" s="3"/>
    </row>
    <row r="967" ht="15.75" customHeight="1">
      <c r="H967" s="3"/>
    </row>
    <row r="968" ht="15.75" customHeight="1">
      <c r="H968" s="3"/>
    </row>
    <row r="969" ht="15.75" customHeight="1">
      <c r="H969" s="3"/>
    </row>
    <row r="970" ht="15.75" customHeight="1">
      <c r="H970" s="3"/>
    </row>
    <row r="971" ht="15.75" customHeight="1">
      <c r="H971" s="3"/>
    </row>
    <row r="972" ht="15.75" customHeight="1">
      <c r="H972" s="3"/>
    </row>
    <row r="973" ht="15.75" customHeight="1">
      <c r="H973" s="3"/>
    </row>
    <row r="974" ht="15.75" customHeight="1">
      <c r="H974" s="3"/>
    </row>
    <row r="975" ht="15.75" customHeight="1">
      <c r="H975" s="3"/>
    </row>
    <row r="976" ht="15.75" customHeight="1">
      <c r="H976" s="3"/>
    </row>
    <row r="977" ht="15.75" customHeight="1">
      <c r="H977" s="3"/>
    </row>
    <row r="978" ht="15.75" customHeight="1">
      <c r="H978" s="3"/>
    </row>
    <row r="979" ht="15.75" customHeight="1">
      <c r="H979" s="3"/>
    </row>
    <row r="980" ht="15.75" customHeight="1">
      <c r="H980" s="3"/>
    </row>
    <row r="981" ht="15.75" customHeight="1">
      <c r="H981" s="3"/>
    </row>
    <row r="982" ht="15.75" customHeight="1">
      <c r="H982" s="3"/>
    </row>
    <row r="983" ht="15.75" customHeight="1">
      <c r="H983" s="3"/>
    </row>
    <row r="984" ht="15.75" customHeight="1">
      <c r="H984" s="3"/>
    </row>
    <row r="985" ht="15.75" customHeight="1">
      <c r="H985" s="3"/>
    </row>
    <row r="986" ht="15.75" customHeight="1">
      <c r="H986" s="3"/>
    </row>
    <row r="987" ht="15.75" customHeight="1">
      <c r="H987" s="3"/>
    </row>
    <row r="988" ht="15.75" customHeight="1">
      <c r="H988" s="3"/>
    </row>
    <row r="989" ht="15.75" customHeight="1">
      <c r="H989" s="3"/>
    </row>
    <row r="990" ht="15.75" customHeight="1">
      <c r="H990" s="3"/>
    </row>
    <row r="991" ht="15.75" customHeight="1">
      <c r="H991" s="3"/>
    </row>
    <row r="992" ht="15.75" customHeight="1">
      <c r="H992" s="3"/>
    </row>
    <row r="993" ht="15.75" customHeight="1">
      <c r="H993" s="3"/>
    </row>
    <row r="994" ht="15.75" customHeight="1">
      <c r="H994" s="3"/>
    </row>
    <row r="995" ht="15.75" customHeight="1">
      <c r="H995" s="3"/>
    </row>
    <row r="996" ht="15.75" customHeight="1">
      <c r="H996" s="3"/>
    </row>
    <row r="997" ht="15.75" customHeight="1">
      <c r="H997" s="3"/>
    </row>
    <row r="998" ht="15.75" customHeight="1">
      <c r="H998" s="3"/>
    </row>
    <row r="999" ht="15.75" customHeight="1">
      <c r="H999" s="3"/>
    </row>
    <row r="1000" ht="15.75" customHeight="1">
      <c r="H1000" s="3"/>
    </row>
  </sheetData>
  <autoFilter ref="$A$1:$C$40">
    <filterColumn colId="0">
      <filters>
        <filter val="no"/>
        <filter val="yes"/>
      </filters>
    </filterColumn>
    <sortState ref="A1:C40">
      <sortCondition ref="A1:A40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18.88"/>
    <col customWidth="1" min="3" max="3" width="9.63"/>
    <col customWidth="1" min="4" max="4" width="10.75"/>
    <col customWidth="1" hidden="1" min="5" max="6" width="7.75"/>
    <col customWidth="1" min="7" max="7" width="26.25"/>
    <col customWidth="1" min="8" max="8" width="12.63"/>
    <col customWidth="1" min="9" max="9" width="45.88"/>
    <col customWidth="1" min="10" max="10" width="26.25"/>
    <col customWidth="1" min="11" max="11" width="26.0"/>
    <col customWidth="1" min="12" max="12" width="17.88"/>
    <col customWidth="1" min="13" max="13" width="10.75"/>
    <col customWidth="1" min="14" max="26" width="26.25"/>
  </cols>
  <sheetData>
    <row r="1">
      <c r="A1" s="4" t="s">
        <v>22</v>
      </c>
      <c r="B1" s="15" t="s">
        <v>26</v>
      </c>
      <c r="C1" s="15" t="s">
        <v>27</v>
      </c>
      <c r="D1" s="15" t="s">
        <v>23</v>
      </c>
      <c r="E1" s="15" t="s">
        <v>24</v>
      </c>
      <c r="F1" s="15"/>
      <c r="G1" s="15" t="s">
        <v>25</v>
      </c>
      <c r="H1" s="16" t="s">
        <v>6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  <c r="N1" s="15" t="s">
        <v>33</v>
      </c>
      <c r="O1" s="15" t="s">
        <v>34</v>
      </c>
      <c r="P1" s="15" t="s">
        <v>35</v>
      </c>
    </row>
    <row r="2" ht="60.0" customHeight="1">
      <c r="A2" s="4" t="s">
        <v>36</v>
      </c>
      <c r="B2" s="20" t="s">
        <v>149</v>
      </c>
      <c r="C2" s="20" t="s">
        <v>150</v>
      </c>
      <c r="D2" s="20" t="s">
        <v>147</v>
      </c>
      <c r="E2" s="20" t="s">
        <v>55</v>
      </c>
      <c r="F2" s="20"/>
      <c r="G2" s="20" t="s">
        <v>148</v>
      </c>
      <c r="H2" s="21">
        <v>18.66</v>
      </c>
      <c r="I2" s="20" t="s">
        <v>151</v>
      </c>
      <c r="J2" s="20" t="s">
        <v>148</v>
      </c>
      <c r="K2" s="20" t="s">
        <v>152</v>
      </c>
      <c r="L2" s="20" t="s">
        <v>153</v>
      </c>
      <c r="M2" s="20" t="s">
        <v>154</v>
      </c>
      <c r="N2" s="20" t="s">
        <v>45</v>
      </c>
      <c r="O2" s="20" t="s">
        <v>155</v>
      </c>
      <c r="P2" s="20" t="s">
        <v>64</v>
      </c>
    </row>
    <row r="3" ht="60.0" customHeight="1">
      <c r="A3" s="4" t="s">
        <v>168</v>
      </c>
      <c r="B3" s="17" t="s">
        <v>149</v>
      </c>
      <c r="C3" s="17" t="s">
        <v>150</v>
      </c>
      <c r="D3" s="17" t="s">
        <v>75</v>
      </c>
      <c r="E3" s="17" t="s">
        <v>55</v>
      </c>
      <c r="F3" s="17"/>
      <c r="G3" s="17" t="s">
        <v>169</v>
      </c>
      <c r="H3" s="18">
        <v>24.91</v>
      </c>
      <c r="I3" s="17" t="s">
        <v>170</v>
      </c>
      <c r="J3" s="17" t="s">
        <v>169</v>
      </c>
      <c r="K3" s="17" t="s">
        <v>171</v>
      </c>
      <c r="L3" s="17" t="s">
        <v>119</v>
      </c>
      <c r="M3" s="17" t="s">
        <v>172</v>
      </c>
      <c r="N3" s="17" t="s">
        <v>45</v>
      </c>
      <c r="O3" s="17" t="s">
        <v>173</v>
      </c>
      <c r="P3" s="17" t="s">
        <v>174</v>
      </c>
    </row>
    <row r="4" ht="60.0" customHeight="1">
      <c r="A4" s="4" t="s">
        <v>36</v>
      </c>
      <c r="B4" s="20" t="s">
        <v>149</v>
      </c>
      <c r="C4" s="20" t="s">
        <v>150</v>
      </c>
      <c r="D4" s="20" t="s">
        <v>225</v>
      </c>
      <c r="E4" s="20" t="s">
        <v>55</v>
      </c>
      <c r="F4" s="20"/>
      <c r="G4" s="20" t="s">
        <v>186</v>
      </c>
      <c r="H4" s="21">
        <v>46.27</v>
      </c>
      <c r="I4" s="20" t="s">
        <v>226</v>
      </c>
      <c r="J4" s="20" t="s">
        <v>186</v>
      </c>
      <c r="K4" s="20" t="s">
        <v>188</v>
      </c>
      <c r="L4" s="20" t="s">
        <v>189</v>
      </c>
      <c r="M4" s="20" t="s">
        <v>190</v>
      </c>
      <c r="N4" s="20" t="s">
        <v>45</v>
      </c>
      <c r="O4" s="20" t="s">
        <v>227</v>
      </c>
      <c r="P4" s="20" t="s">
        <v>64</v>
      </c>
    </row>
    <row r="5" ht="60.0" customHeight="1">
      <c r="A5" s="4" t="s">
        <v>36</v>
      </c>
      <c r="B5" s="17" t="s">
        <v>149</v>
      </c>
      <c r="C5" s="17" t="s">
        <v>150</v>
      </c>
      <c r="D5" s="17" t="s">
        <v>233</v>
      </c>
      <c r="E5" s="17" t="s">
        <v>55</v>
      </c>
      <c r="F5" s="17"/>
      <c r="G5" s="17" t="s">
        <v>126</v>
      </c>
      <c r="H5" s="18">
        <v>54.6</v>
      </c>
      <c r="I5" s="17" t="s">
        <v>234</v>
      </c>
      <c r="J5" s="17" t="s">
        <v>126</v>
      </c>
      <c r="K5" s="17" t="s">
        <v>208</v>
      </c>
      <c r="L5" s="17" t="s">
        <v>97</v>
      </c>
      <c r="M5" s="17" t="s">
        <v>98</v>
      </c>
      <c r="N5" s="17" t="s">
        <v>45</v>
      </c>
      <c r="O5" s="17" t="s">
        <v>235</v>
      </c>
      <c r="P5" s="17" t="s">
        <v>64</v>
      </c>
    </row>
    <row r="6" ht="60.0" customHeight="1">
      <c r="A6" s="4" t="s">
        <v>36</v>
      </c>
      <c r="B6" s="17" t="s">
        <v>149</v>
      </c>
      <c r="C6" s="17" t="s">
        <v>150</v>
      </c>
      <c r="D6" s="17" t="s">
        <v>75</v>
      </c>
      <c r="E6" s="17" t="s">
        <v>55</v>
      </c>
      <c r="F6" s="17"/>
      <c r="G6" s="17" t="s">
        <v>228</v>
      </c>
      <c r="H6" s="18">
        <v>79.2</v>
      </c>
      <c r="I6" s="17" t="s">
        <v>267</v>
      </c>
      <c r="J6" s="17" t="s">
        <v>228</v>
      </c>
      <c r="K6" s="17" t="s">
        <v>230</v>
      </c>
      <c r="L6" s="17" t="s">
        <v>119</v>
      </c>
      <c r="M6" s="17" t="s">
        <v>231</v>
      </c>
      <c r="N6" s="17" t="s">
        <v>45</v>
      </c>
      <c r="O6" s="17" t="s">
        <v>268</v>
      </c>
      <c r="P6" s="17" t="s">
        <v>64</v>
      </c>
    </row>
    <row r="7" ht="60.0" customHeight="1">
      <c r="A7" s="4" t="s">
        <v>36</v>
      </c>
      <c r="B7" s="17" t="s">
        <v>149</v>
      </c>
      <c r="C7" s="17" t="s">
        <v>150</v>
      </c>
      <c r="D7" s="17" t="s">
        <v>301</v>
      </c>
      <c r="E7" s="17" t="s">
        <v>55</v>
      </c>
      <c r="F7" s="17"/>
      <c r="G7" s="17" t="s">
        <v>302</v>
      </c>
      <c r="H7" s="18">
        <v>100.17</v>
      </c>
      <c r="I7" s="17" t="s">
        <v>303</v>
      </c>
      <c r="J7" s="17" t="s">
        <v>302</v>
      </c>
      <c r="K7" s="17" t="s">
        <v>304</v>
      </c>
      <c r="L7" s="17" t="s">
        <v>305</v>
      </c>
      <c r="M7" s="17" t="s">
        <v>306</v>
      </c>
      <c r="N7" s="17" t="s">
        <v>45</v>
      </c>
      <c r="O7" s="17" t="s">
        <v>307</v>
      </c>
      <c r="P7" s="17" t="s">
        <v>308</v>
      </c>
    </row>
    <row r="8" ht="60.0" customHeight="1">
      <c r="A8" s="22" t="s">
        <v>168</v>
      </c>
      <c r="B8" s="20" t="s">
        <v>149</v>
      </c>
      <c r="C8" s="20" t="s">
        <v>150</v>
      </c>
      <c r="D8" s="20" t="s">
        <v>196</v>
      </c>
      <c r="E8" s="20" t="s">
        <v>55</v>
      </c>
      <c r="F8" s="20"/>
      <c r="G8" s="20" t="s">
        <v>424</v>
      </c>
      <c r="H8" s="21">
        <v>232.06</v>
      </c>
      <c r="I8" s="20" t="s">
        <v>425</v>
      </c>
      <c r="J8" s="20" t="s">
        <v>424</v>
      </c>
      <c r="K8" s="20" t="s">
        <v>426</v>
      </c>
      <c r="L8" s="20" t="s">
        <v>427</v>
      </c>
      <c r="M8" s="20" t="s">
        <v>428</v>
      </c>
      <c r="N8" s="20" t="s">
        <v>45</v>
      </c>
      <c r="O8" s="20" t="s">
        <v>429</v>
      </c>
      <c r="P8" s="20" t="s">
        <v>64</v>
      </c>
    </row>
    <row r="9" ht="60.0" customHeight="1">
      <c r="A9" s="4" t="s">
        <v>168</v>
      </c>
      <c r="B9" s="20" t="s">
        <v>149</v>
      </c>
      <c r="C9" s="20" t="s">
        <v>150</v>
      </c>
      <c r="D9" s="20" t="s">
        <v>233</v>
      </c>
      <c r="E9" s="20" t="s">
        <v>55</v>
      </c>
      <c r="F9" s="20"/>
      <c r="G9" s="20" t="s">
        <v>451</v>
      </c>
      <c r="H9" s="21">
        <v>356.08</v>
      </c>
      <c r="I9" s="20" t="s">
        <v>452</v>
      </c>
      <c r="J9" s="20" t="s">
        <v>451</v>
      </c>
      <c r="K9" s="20" t="s">
        <v>453</v>
      </c>
      <c r="L9" s="20" t="s">
        <v>454</v>
      </c>
      <c r="M9" s="20" t="s">
        <v>455</v>
      </c>
      <c r="N9" s="20" t="s">
        <v>45</v>
      </c>
      <c r="O9" s="20" t="s">
        <v>456</v>
      </c>
      <c r="P9" s="20" t="s">
        <v>64</v>
      </c>
    </row>
    <row r="10" ht="60.0" customHeight="1">
      <c r="A10" s="4" t="s">
        <v>168</v>
      </c>
      <c r="B10" s="20" t="s">
        <v>149</v>
      </c>
      <c r="C10" s="20" t="s">
        <v>150</v>
      </c>
      <c r="D10" s="20" t="s">
        <v>75</v>
      </c>
      <c r="E10" s="20" t="s">
        <v>55</v>
      </c>
      <c r="F10" s="20"/>
      <c r="G10" s="20" t="s">
        <v>457</v>
      </c>
      <c r="H10" s="21">
        <v>362.15</v>
      </c>
      <c r="I10" s="20" t="s">
        <v>458</v>
      </c>
      <c r="J10" s="20" t="s">
        <v>457</v>
      </c>
      <c r="K10" s="20" t="s">
        <v>459</v>
      </c>
      <c r="L10" s="20" t="s">
        <v>119</v>
      </c>
      <c r="M10" s="20" t="s">
        <v>231</v>
      </c>
      <c r="N10" s="20" t="s">
        <v>45</v>
      </c>
      <c r="O10" s="20" t="s">
        <v>460</v>
      </c>
      <c r="P10" s="20" t="s">
        <v>182</v>
      </c>
    </row>
    <row r="11" ht="60.0" customHeight="1">
      <c r="A11" s="4" t="s">
        <v>168</v>
      </c>
      <c r="B11" s="17" t="s">
        <v>149</v>
      </c>
      <c r="C11" s="17" t="s">
        <v>150</v>
      </c>
      <c r="D11" s="17" t="s">
        <v>147</v>
      </c>
      <c r="E11" s="17" t="s">
        <v>55</v>
      </c>
      <c r="F11" s="17"/>
      <c r="G11" s="17" t="s">
        <v>424</v>
      </c>
      <c r="H11" s="18">
        <v>378.36</v>
      </c>
      <c r="I11" s="17" t="s">
        <v>461</v>
      </c>
      <c r="J11" s="17" t="s">
        <v>424</v>
      </c>
      <c r="K11" s="17" t="s">
        <v>426</v>
      </c>
      <c r="L11" s="17" t="s">
        <v>427</v>
      </c>
      <c r="M11" s="17" t="s">
        <v>428</v>
      </c>
      <c r="N11" s="17" t="s">
        <v>45</v>
      </c>
      <c r="O11" s="17" t="s">
        <v>462</v>
      </c>
      <c r="P11" s="17" t="s">
        <v>64</v>
      </c>
    </row>
    <row r="12" ht="60.0" customHeight="1">
      <c r="A12" s="4" t="s">
        <v>168</v>
      </c>
      <c r="B12" s="17" t="s">
        <v>149</v>
      </c>
      <c r="C12" s="17" t="s">
        <v>150</v>
      </c>
      <c r="D12" s="17" t="s">
        <v>91</v>
      </c>
      <c r="E12" s="17" t="s">
        <v>55</v>
      </c>
      <c r="F12" s="17"/>
      <c r="G12" s="17" t="s">
        <v>424</v>
      </c>
      <c r="H12" s="18">
        <v>396.94</v>
      </c>
      <c r="I12" s="17" t="s">
        <v>463</v>
      </c>
      <c r="J12" s="17" t="s">
        <v>424</v>
      </c>
      <c r="K12" s="17" t="s">
        <v>426</v>
      </c>
      <c r="L12" s="17" t="s">
        <v>427</v>
      </c>
      <c r="M12" s="17" t="s">
        <v>428</v>
      </c>
      <c r="N12" s="17" t="s">
        <v>45</v>
      </c>
      <c r="O12" s="17" t="s">
        <v>464</v>
      </c>
      <c r="P12" s="17" t="s">
        <v>64</v>
      </c>
    </row>
    <row r="13" ht="60.0" customHeight="1">
      <c r="A13" s="4" t="s">
        <v>506</v>
      </c>
      <c r="B13" s="17" t="s">
        <v>149</v>
      </c>
      <c r="C13" s="17" t="s">
        <v>150</v>
      </c>
      <c r="D13" s="17" t="s">
        <v>54</v>
      </c>
      <c r="E13" s="17" t="s">
        <v>55</v>
      </c>
      <c r="F13" s="17"/>
      <c r="G13" s="17" t="s">
        <v>509</v>
      </c>
      <c r="H13" s="18">
        <v>2.59</v>
      </c>
      <c r="I13" s="17" t="s">
        <v>510</v>
      </c>
      <c r="J13" s="17" t="s">
        <v>509</v>
      </c>
      <c r="K13" s="17" t="s">
        <v>511</v>
      </c>
      <c r="L13" s="17" t="s">
        <v>512</v>
      </c>
      <c r="M13" s="17" t="s">
        <v>513</v>
      </c>
      <c r="N13" s="17" t="s">
        <v>45</v>
      </c>
      <c r="O13" s="17" t="s">
        <v>514</v>
      </c>
      <c r="P13" s="17" t="s">
        <v>64</v>
      </c>
    </row>
    <row r="14" ht="60.0" customHeight="1">
      <c r="A14" s="4" t="s">
        <v>506</v>
      </c>
      <c r="B14" s="17" t="s">
        <v>149</v>
      </c>
      <c r="C14" s="17" t="s">
        <v>150</v>
      </c>
      <c r="D14" s="17" t="s">
        <v>123</v>
      </c>
      <c r="E14" s="17" t="s">
        <v>55</v>
      </c>
      <c r="F14" s="17"/>
      <c r="G14" s="17" t="s">
        <v>521</v>
      </c>
      <c r="H14" s="18">
        <v>5.64</v>
      </c>
      <c r="I14" s="17" t="s">
        <v>522</v>
      </c>
      <c r="J14" s="17" t="s">
        <v>521</v>
      </c>
      <c r="K14" s="17" t="s">
        <v>523</v>
      </c>
      <c r="L14" s="17" t="s">
        <v>524</v>
      </c>
      <c r="M14" s="17" t="s">
        <v>525</v>
      </c>
      <c r="N14" s="17" t="s">
        <v>45</v>
      </c>
      <c r="O14" s="17" t="s">
        <v>526</v>
      </c>
      <c r="P14" s="17" t="s">
        <v>64</v>
      </c>
    </row>
    <row r="15" ht="60.0" customHeight="1">
      <c r="A15" s="4" t="s">
        <v>506</v>
      </c>
      <c r="B15" s="20" t="s">
        <v>149</v>
      </c>
      <c r="C15" s="20" t="s">
        <v>150</v>
      </c>
      <c r="D15" s="20" t="s">
        <v>131</v>
      </c>
      <c r="E15" s="20" t="s">
        <v>55</v>
      </c>
      <c r="F15" s="20"/>
      <c r="G15" s="20" t="s">
        <v>535</v>
      </c>
      <c r="H15" s="21">
        <v>9.17</v>
      </c>
      <c r="I15" s="20" t="s">
        <v>536</v>
      </c>
      <c r="J15" s="20" t="s">
        <v>535</v>
      </c>
      <c r="K15" s="20" t="s">
        <v>537</v>
      </c>
      <c r="L15" s="20" t="s">
        <v>538</v>
      </c>
      <c r="M15" s="20" t="s">
        <v>539</v>
      </c>
      <c r="N15" s="20" t="s">
        <v>45</v>
      </c>
      <c r="O15" s="20" t="s">
        <v>540</v>
      </c>
      <c r="P15" s="20" t="s">
        <v>74</v>
      </c>
    </row>
    <row r="16" ht="60.0" customHeight="1">
      <c r="A16" s="4" t="s">
        <v>506</v>
      </c>
      <c r="B16" s="17" t="s">
        <v>149</v>
      </c>
      <c r="C16" s="17" t="s">
        <v>150</v>
      </c>
      <c r="D16" s="17" t="s">
        <v>290</v>
      </c>
      <c r="E16" s="17" t="s">
        <v>55</v>
      </c>
      <c r="F16" s="17"/>
      <c r="G16" s="17" t="s">
        <v>541</v>
      </c>
      <c r="H16" s="18">
        <v>10.03</v>
      </c>
      <c r="I16" s="17" t="s">
        <v>542</v>
      </c>
      <c r="J16" s="17" t="s">
        <v>541</v>
      </c>
      <c r="K16" s="17" t="s">
        <v>537</v>
      </c>
      <c r="L16" s="17" t="s">
        <v>538</v>
      </c>
      <c r="M16" s="17" t="s">
        <v>539</v>
      </c>
      <c r="N16" s="17" t="s">
        <v>45</v>
      </c>
      <c r="O16" s="17" t="s">
        <v>543</v>
      </c>
      <c r="P16" s="17" t="s">
        <v>74</v>
      </c>
    </row>
    <row r="17" ht="60.0" customHeight="1">
      <c r="A17" s="4" t="s">
        <v>506</v>
      </c>
      <c r="B17" s="17" t="s">
        <v>149</v>
      </c>
      <c r="C17" s="17" t="s">
        <v>150</v>
      </c>
      <c r="D17" s="17" t="s">
        <v>301</v>
      </c>
      <c r="E17" s="17" t="s">
        <v>55</v>
      </c>
      <c r="F17" s="17"/>
      <c r="G17" s="17" t="s">
        <v>548</v>
      </c>
      <c r="H17" s="18">
        <v>10.58</v>
      </c>
      <c r="I17" s="17" t="s">
        <v>549</v>
      </c>
      <c r="J17" s="17" t="s">
        <v>548</v>
      </c>
      <c r="K17" s="17" t="s">
        <v>550</v>
      </c>
      <c r="L17" s="17" t="s">
        <v>551</v>
      </c>
      <c r="M17" s="17" t="s">
        <v>552</v>
      </c>
      <c r="N17" s="17" t="s">
        <v>45</v>
      </c>
      <c r="O17" s="17" t="s">
        <v>553</v>
      </c>
      <c r="P17" s="17" t="s">
        <v>64</v>
      </c>
    </row>
    <row r="18" ht="60.0" customHeight="1">
      <c r="A18" s="4" t="s">
        <v>506</v>
      </c>
      <c r="B18" s="20" t="s">
        <v>149</v>
      </c>
      <c r="C18" s="20" t="s">
        <v>150</v>
      </c>
      <c r="D18" s="20" t="s">
        <v>115</v>
      </c>
      <c r="E18" s="20" t="s">
        <v>55</v>
      </c>
      <c r="F18" s="20"/>
      <c r="G18" s="20" t="s">
        <v>554</v>
      </c>
      <c r="H18" s="21">
        <v>10.58</v>
      </c>
      <c r="I18" s="20" t="s">
        <v>555</v>
      </c>
      <c r="J18" s="20" t="s">
        <v>554</v>
      </c>
      <c r="K18" s="20" t="s">
        <v>188</v>
      </c>
      <c r="L18" s="20" t="s">
        <v>189</v>
      </c>
      <c r="M18" s="20" t="s">
        <v>190</v>
      </c>
      <c r="N18" s="20" t="s">
        <v>45</v>
      </c>
      <c r="O18" s="20" t="s">
        <v>556</v>
      </c>
      <c r="P18" s="20" t="s">
        <v>64</v>
      </c>
    </row>
    <row r="19" ht="60.0" customHeight="1">
      <c r="A19" s="4" t="s">
        <v>506</v>
      </c>
      <c r="B19" s="17" t="s">
        <v>149</v>
      </c>
      <c r="C19" s="17" t="s">
        <v>150</v>
      </c>
      <c r="D19" s="17" t="s">
        <v>108</v>
      </c>
      <c r="E19" s="17" t="s">
        <v>55</v>
      </c>
      <c r="F19" s="17"/>
      <c r="G19" s="17" t="s">
        <v>557</v>
      </c>
      <c r="H19" s="18">
        <v>10.96</v>
      </c>
      <c r="I19" s="17" t="s">
        <v>558</v>
      </c>
      <c r="J19" s="17" t="s">
        <v>557</v>
      </c>
      <c r="K19" s="17" t="s">
        <v>188</v>
      </c>
      <c r="L19" s="17" t="s">
        <v>189</v>
      </c>
      <c r="M19" s="17" t="s">
        <v>190</v>
      </c>
      <c r="N19" s="17" t="s">
        <v>45</v>
      </c>
      <c r="O19" s="17" t="s">
        <v>559</v>
      </c>
      <c r="P19" s="17" t="s">
        <v>64</v>
      </c>
    </row>
    <row r="20" ht="60.0" customHeight="1">
      <c r="A20" s="4" t="s">
        <v>506</v>
      </c>
      <c r="B20" s="17" t="s">
        <v>149</v>
      </c>
      <c r="C20" s="17" t="s">
        <v>150</v>
      </c>
      <c r="D20" s="17" t="s">
        <v>156</v>
      </c>
      <c r="E20" s="17" t="s">
        <v>55</v>
      </c>
      <c r="F20" s="17"/>
      <c r="G20" s="17" t="s">
        <v>565</v>
      </c>
      <c r="H20" s="18">
        <v>11.13</v>
      </c>
      <c r="I20" s="17" t="s">
        <v>566</v>
      </c>
      <c r="J20" s="17" t="s">
        <v>565</v>
      </c>
      <c r="K20" s="17" t="s">
        <v>567</v>
      </c>
      <c r="L20" s="17" t="s">
        <v>568</v>
      </c>
      <c r="M20" s="17" t="s">
        <v>569</v>
      </c>
      <c r="N20" s="17" t="s">
        <v>45</v>
      </c>
      <c r="O20" s="17" t="s">
        <v>570</v>
      </c>
      <c r="P20" s="17" t="s">
        <v>122</v>
      </c>
    </row>
    <row r="21" ht="60.0" customHeight="1">
      <c r="A21" s="4" t="s">
        <v>506</v>
      </c>
      <c r="B21" s="20" t="s">
        <v>149</v>
      </c>
      <c r="C21" s="20" t="s">
        <v>150</v>
      </c>
      <c r="D21" s="20" t="s">
        <v>290</v>
      </c>
      <c r="E21" s="20" t="s">
        <v>55</v>
      </c>
      <c r="F21" s="20"/>
      <c r="G21" s="20" t="s">
        <v>509</v>
      </c>
      <c r="H21" s="21">
        <v>11.27</v>
      </c>
      <c r="I21" s="20" t="s">
        <v>571</v>
      </c>
      <c r="J21" s="20" t="s">
        <v>509</v>
      </c>
      <c r="K21" s="20" t="s">
        <v>511</v>
      </c>
      <c r="L21" s="20" t="s">
        <v>512</v>
      </c>
      <c r="M21" s="20" t="s">
        <v>513</v>
      </c>
      <c r="N21" s="20" t="s">
        <v>45</v>
      </c>
      <c r="O21" s="20" t="s">
        <v>572</v>
      </c>
      <c r="P21" s="20" t="s">
        <v>64</v>
      </c>
    </row>
    <row r="22" ht="60.0" customHeight="1">
      <c r="A22" s="4" t="s">
        <v>506</v>
      </c>
      <c r="B22" s="17" t="s">
        <v>149</v>
      </c>
      <c r="C22" s="17" t="s">
        <v>150</v>
      </c>
      <c r="D22" s="17" t="s">
        <v>233</v>
      </c>
      <c r="E22" s="17" t="s">
        <v>55</v>
      </c>
      <c r="F22" s="17"/>
      <c r="G22" s="17" t="s">
        <v>573</v>
      </c>
      <c r="H22" s="18">
        <v>11.63</v>
      </c>
      <c r="I22" s="17" t="s">
        <v>574</v>
      </c>
      <c r="J22" s="17" t="s">
        <v>573</v>
      </c>
      <c r="K22" s="17" t="s">
        <v>575</v>
      </c>
      <c r="L22" s="17" t="s">
        <v>305</v>
      </c>
      <c r="M22" s="17" t="s">
        <v>576</v>
      </c>
      <c r="N22" s="17" t="s">
        <v>45</v>
      </c>
      <c r="O22" s="17" t="s">
        <v>577</v>
      </c>
      <c r="P22" s="17" t="s">
        <v>114</v>
      </c>
    </row>
    <row r="23" ht="60.0" customHeight="1">
      <c r="A23" s="4" t="s">
        <v>506</v>
      </c>
      <c r="B23" s="17" t="s">
        <v>149</v>
      </c>
      <c r="C23" s="17" t="s">
        <v>150</v>
      </c>
      <c r="D23" s="17" t="s">
        <v>65</v>
      </c>
      <c r="E23" s="17" t="s">
        <v>55</v>
      </c>
      <c r="F23" s="17"/>
      <c r="G23" s="17" t="s">
        <v>580</v>
      </c>
      <c r="H23" s="18">
        <v>12.12</v>
      </c>
      <c r="I23" s="17" t="s">
        <v>581</v>
      </c>
      <c r="J23" s="17" t="s">
        <v>580</v>
      </c>
      <c r="K23" s="17" t="s">
        <v>582</v>
      </c>
      <c r="L23" s="17" t="s">
        <v>305</v>
      </c>
      <c r="M23" s="17" t="s">
        <v>583</v>
      </c>
      <c r="N23" s="17" t="s">
        <v>45</v>
      </c>
      <c r="O23" s="17" t="s">
        <v>584</v>
      </c>
      <c r="P23" s="17" t="s">
        <v>534</v>
      </c>
    </row>
    <row r="24" ht="60.0" customHeight="1">
      <c r="A24" s="4" t="s">
        <v>506</v>
      </c>
      <c r="B24" s="20" t="s">
        <v>149</v>
      </c>
      <c r="C24" s="20" t="s">
        <v>150</v>
      </c>
      <c r="D24" s="20" t="s">
        <v>108</v>
      </c>
      <c r="E24" s="20" t="s">
        <v>55</v>
      </c>
      <c r="F24" s="20"/>
      <c r="G24" s="20" t="s">
        <v>599</v>
      </c>
      <c r="H24" s="21">
        <v>13.29</v>
      </c>
      <c r="I24" s="20" t="s">
        <v>600</v>
      </c>
      <c r="J24" s="20" t="s">
        <v>599</v>
      </c>
      <c r="K24" s="20" t="s">
        <v>601</v>
      </c>
      <c r="L24" s="20" t="s">
        <v>305</v>
      </c>
      <c r="M24" s="20" t="s">
        <v>583</v>
      </c>
      <c r="N24" s="20" t="s">
        <v>45</v>
      </c>
      <c r="O24" s="20" t="s">
        <v>602</v>
      </c>
      <c r="P24" s="20" t="s">
        <v>122</v>
      </c>
    </row>
    <row r="25" ht="60.0" customHeight="1">
      <c r="A25" s="4" t="s">
        <v>506</v>
      </c>
      <c r="B25" s="20" t="s">
        <v>149</v>
      </c>
      <c r="C25" s="20" t="s">
        <v>150</v>
      </c>
      <c r="D25" s="20" t="s">
        <v>196</v>
      </c>
      <c r="E25" s="20" t="s">
        <v>55</v>
      </c>
      <c r="F25" s="20"/>
      <c r="G25" s="20" t="s">
        <v>610</v>
      </c>
      <c r="H25" s="21">
        <v>13.77</v>
      </c>
      <c r="I25" s="20" t="s">
        <v>611</v>
      </c>
      <c r="J25" s="20" t="s">
        <v>610</v>
      </c>
      <c r="K25" s="20" t="s">
        <v>612</v>
      </c>
      <c r="L25" s="20" t="s">
        <v>613</v>
      </c>
      <c r="M25" s="20" t="s">
        <v>614</v>
      </c>
      <c r="N25" s="20" t="s">
        <v>45</v>
      </c>
      <c r="O25" s="20" t="s">
        <v>615</v>
      </c>
      <c r="P25" s="20" t="s">
        <v>122</v>
      </c>
    </row>
    <row r="26" ht="60.0" customHeight="1">
      <c r="A26" s="4" t="s">
        <v>506</v>
      </c>
      <c r="B26" s="20" t="s">
        <v>149</v>
      </c>
      <c r="C26" s="20" t="s">
        <v>150</v>
      </c>
      <c r="D26" s="20" t="s">
        <v>65</v>
      </c>
      <c r="E26" s="20" t="s">
        <v>55</v>
      </c>
      <c r="F26" s="20"/>
      <c r="G26" s="20" t="s">
        <v>616</v>
      </c>
      <c r="H26" s="21">
        <v>13.94</v>
      </c>
      <c r="I26" s="20" t="s">
        <v>617</v>
      </c>
      <c r="J26" s="20" t="s">
        <v>616</v>
      </c>
      <c r="K26" s="20" t="s">
        <v>618</v>
      </c>
      <c r="L26" s="20" t="s">
        <v>619</v>
      </c>
      <c r="M26" s="20" t="s">
        <v>620</v>
      </c>
      <c r="N26" s="20" t="s">
        <v>45</v>
      </c>
      <c r="O26" s="20" t="s">
        <v>621</v>
      </c>
      <c r="P26" s="20" t="s">
        <v>122</v>
      </c>
    </row>
    <row r="27" ht="60.0" customHeight="1">
      <c r="A27" s="4" t="s">
        <v>506</v>
      </c>
      <c r="B27" s="17" t="s">
        <v>149</v>
      </c>
      <c r="C27" s="17" t="s">
        <v>150</v>
      </c>
      <c r="D27" s="17" t="s">
        <v>115</v>
      </c>
      <c r="E27" s="17" t="s">
        <v>55</v>
      </c>
      <c r="F27" s="17"/>
      <c r="G27" s="17" t="s">
        <v>451</v>
      </c>
      <c r="H27" s="18">
        <v>13.99</v>
      </c>
      <c r="I27" s="17" t="s">
        <v>622</v>
      </c>
      <c r="J27" s="17" t="s">
        <v>451</v>
      </c>
      <c r="K27" s="17" t="s">
        <v>453</v>
      </c>
      <c r="L27" s="17" t="s">
        <v>454</v>
      </c>
      <c r="M27" s="17" t="s">
        <v>455</v>
      </c>
      <c r="N27" s="17" t="s">
        <v>45</v>
      </c>
      <c r="O27" s="17" t="s">
        <v>623</v>
      </c>
      <c r="P27" s="17" t="s">
        <v>64</v>
      </c>
    </row>
    <row r="28" ht="60.0" customHeight="1">
      <c r="A28" s="4" t="s">
        <v>506</v>
      </c>
      <c r="B28" s="17" t="s">
        <v>149</v>
      </c>
      <c r="C28" s="17" t="s">
        <v>150</v>
      </c>
      <c r="D28" s="17" t="s">
        <v>65</v>
      </c>
      <c r="E28" s="17" t="s">
        <v>55</v>
      </c>
      <c r="F28" s="17"/>
      <c r="G28" s="17" t="s">
        <v>509</v>
      </c>
      <c r="H28" s="18">
        <v>15.17</v>
      </c>
      <c r="I28" s="17" t="s">
        <v>626</v>
      </c>
      <c r="J28" s="17" t="s">
        <v>509</v>
      </c>
      <c r="K28" s="17" t="s">
        <v>511</v>
      </c>
      <c r="L28" s="17" t="s">
        <v>512</v>
      </c>
      <c r="M28" s="17" t="s">
        <v>513</v>
      </c>
      <c r="N28" s="17" t="s">
        <v>45</v>
      </c>
      <c r="O28" s="17" t="s">
        <v>627</v>
      </c>
      <c r="P28" s="17" t="s">
        <v>64</v>
      </c>
    </row>
    <row r="29" ht="60.0" customHeight="1">
      <c r="A29" s="4" t="s">
        <v>506</v>
      </c>
      <c r="B29" s="20" t="s">
        <v>149</v>
      </c>
      <c r="C29" s="20" t="s">
        <v>150</v>
      </c>
      <c r="D29" s="20" t="s">
        <v>54</v>
      </c>
      <c r="E29" s="20" t="s">
        <v>55</v>
      </c>
      <c r="F29" s="20"/>
      <c r="G29" s="20" t="s">
        <v>640</v>
      </c>
      <c r="H29" s="21">
        <v>16.15</v>
      </c>
      <c r="I29" s="20" t="s">
        <v>641</v>
      </c>
      <c r="J29" s="20" t="s">
        <v>640</v>
      </c>
      <c r="K29" s="20" t="s">
        <v>642</v>
      </c>
      <c r="L29" s="20" t="s">
        <v>305</v>
      </c>
      <c r="M29" s="20" t="s">
        <v>583</v>
      </c>
      <c r="N29" s="20" t="s">
        <v>45</v>
      </c>
      <c r="O29" s="20" t="s">
        <v>643</v>
      </c>
      <c r="P29" s="20" t="s">
        <v>417</v>
      </c>
    </row>
    <row r="30" ht="60.0" customHeight="1">
      <c r="A30" s="4" t="s">
        <v>506</v>
      </c>
      <c r="B30" s="17" t="s">
        <v>149</v>
      </c>
      <c r="C30" s="17" t="s">
        <v>150</v>
      </c>
      <c r="D30" s="17" t="s">
        <v>83</v>
      </c>
      <c r="E30" s="17" t="s">
        <v>55</v>
      </c>
      <c r="F30" s="17"/>
      <c r="G30" s="17" t="s">
        <v>669</v>
      </c>
      <c r="H30" s="18">
        <v>21.03</v>
      </c>
      <c r="I30" s="17" t="s">
        <v>670</v>
      </c>
      <c r="J30" s="17" t="s">
        <v>669</v>
      </c>
      <c r="K30" s="17" t="s">
        <v>671</v>
      </c>
      <c r="L30" s="17" t="s">
        <v>119</v>
      </c>
      <c r="M30" s="17" t="s">
        <v>672</v>
      </c>
      <c r="N30" s="17" t="s">
        <v>45</v>
      </c>
      <c r="O30" s="17" t="s">
        <v>673</v>
      </c>
      <c r="P30" s="17" t="s">
        <v>182</v>
      </c>
    </row>
    <row r="31" ht="60.0" customHeight="1">
      <c r="A31" s="4" t="s">
        <v>506</v>
      </c>
      <c r="B31" s="20" t="s">
        <v>149</v>
      </c>
      <c r="C31" s="20" t="s">
        <v>150</v>
      </c>
      <c r="D31" s="20" t="s">
        <v>83</v>
      </c>
      <c r="E31" s="20" t="s">
        <v>55</v>
      </c>
      <c r="F31" s="20"/>
      <c r="G31" s="20" t="s">
        <v>674</v>
      </c>
      <c r="H31" s="21">
        <v>21.59</v>
      </c>
      <c r="I31" s="20" t="s">
        <v>675</v>
      </c>
      <c r="J31" s="20" t="s">
        <v>674</v>
      </c>
      <c r="K31" s="20" t="s">
        <v>676</v>
      </c>
      <c r="L31" s="20" t="s">
        <v>119</v>
      </c>
      <c r="M31" s="20" t="s">
        <v>120</v>
      </c>
      <c r="N31" s="20" t="s">
        <v>45</v>
      </c>
      <c r="O31" s="20" t="s">
        <v>677</v>
      </c>
      <c r="P31" s="20" t="s">
        <v>122</v>
      </c>
    </row>
    <row r="32" ht="60.0" customHeight="1">
      <c r="A32" s="4" t="s">
        <v>506</v>
      </c>
      <c r="B32" s="17" t="s">
        <v>149</v>
      </c>
      <c r="C32" s="17" t="s">
        <v>150</v>
      </c>
      <c r="D32" s="17" t="s">
        <v>131</v>
      </c>
      <c r="E32" s="17" t="s">
        <v>55</v>
      </c>
      <c r="F32" s="17"/>
      <c r="G32" s="17" t="s">
        <v>674</v>
      </c>
      <c r="H32" s="18">
        <v>21.85</v>
      </c>
      <c r="I32" s="17" t="s">
        <v>678</v>
      </c>
      <c r="J32" s="17" t="s">
        <v>674</v>
      </c>
      <c r="K32" s="17" t="s">
        <v>676</v>
      </c>
      <c r="L32" s="17" t="s">
        <v>119</v>
      </c>
      <c r="M32" s="17" t="s">
        <v>120</v>
      </c>
      <c r="N32" s="17" t="s">
        <v>45</v>
      </c>
      <c r="O32" s="17" t="s">
        <v>679</v>
      </c>
      <c r="P32" s="17" t="s">
        <v>122</v>
      </c>
    </row>
    <row r="33" ht="60.0" customHeight="1">
      <c r="A33" s="4" t="s">
        <v>506</v>
      </c>
      <c r="B33" s="20" t="s">
        <v>149</v>
      </c>
      <c r="C33" s="20" t="s">
        <v>150</v>
      </c>
      <c r="D33" s="20" t="s">
        <v>54</v>
      </c>
      <c r="E33" s="20" t="s">
        <v>55</v>
      </c>
      <c r="F33" s="20"/>
      <c r="G33" s="20" t="s">
        <v>700</v>
      </c>
      <c r="H33" s="21">
        <v>24.98</v>
      </c>
      <c r="I33" s="20" t="s">
        <v>701</v>
      </c>
      <c r="J33" s="20" t="s">
        <v>700</v>
      </c>
      <c r="K33" s="20" t="s">
        <v>702</v>
      </c>
      <c r="L33" s="20" t="s">
        <v>71</v>
      </c>
      <c r="M33" s="20" t="s">
        <v>112</v>
      </c>
      <c r="N33" s="20" t="s">
        <v>45</v>
      </c>
      <c r="O33" s="20" t="s">
        <v>703</v>
      </c>
      <c r="P33" s="20" t="s">
        <v>114</v>
      </c>
    </row>
    <row r="34" ht="60.0" customHeight="1">
      <c r="A34" s="4" t="s">
        <v>710</v>
      </c>
      <c r="B34" s="17" t="s">
        <v>149</v>
      </c>
      <c r="C34" s="17" t="s">
        <v>150</v>
      </c>
      <c r="D34" s="17" t="s">
        <v>156</v>
      </c>
      <c r="E34" s="17" t="s">
        <v>55</v>
      </c>
      <c r="F34" s="17"/>
      <c r="G34" s="17" t="s">
        <v>719</v>
      </c>
      <c r="H34" s="18">
        <v>26.33</v>
      </c>
      <c r="I34" s="17" t="s">
        <v>720</v>
      </c>
      <c r="J34" s="17" t="s">
        <v>719</v>
      </c>
      <c r="K34" s="17" t="s">
        <v>721</v>
      </c>
      <c r="L34" s="17" t="s">
        <v>305</v>
      </c>
      <c r="M34" s="17" t="s">
        <v>583</v>
      </c>
      <c r="N34" s="17" t="s">
        <v>45</v>
      </c>
      <c r="O34" s="17" t="s">
        <v>722</v>
      </c>
      <c r="P34" s="17" t="s">
        <v>114</v>
      </c>
    </row>
    <row r="35" ht="60.0" customHeight="1">
      <c r="A35" s="4" t="s">
        <v>710</v>
      </c>
      <c r="B35" s="17" t="s">
        <v>149</v>
      </c>
      <c r="C35" s="17" t="s">
        <v>150</v>
      </c>
      <c r="D35" s="17" t="s">
        <v>233</v>
      </c>
      <c r="E35" s="17" t="s">
        <v>55</v>
      </c>
      <c r="F35" s="17"/>
      <c r="G35" s="17" t="s">
        <v>700</v>
      </c>
      <c r="H35" s="18">
        <v>27.61</v>
      </c>
      <c r="I35" s="17" t="s">
        <v>733</v>
      </c>
      <c r="J35" s="17" t="s">
        <v>700</v>
      </c>
      <c r="K35" s="17" t="s">
        <v>702</v>
      </c>
      <c r="L35" s="17" t="s">
        <v>71</v>
      </c>
      <c r="M35" s="17" t="s">
        <v>112</v>
      </c>
      <c r="N35" s="17" t="s">
        <v>45</v>
      </c>
      <c r="O35" s="17" t="s">
        <v>734</v>
      </c>
      <c r="P35" s="17" t="s">
        <v>114</v>
      </c>
    </row>
    <row r="36" ht="60.0" customHeight="1">
      <c r="A36" s="4" t="s">
        <v>710</v>
      </c>
      <c r="B36" s="20" t="s">
        <v>149</v>
      </c>
      <c r="C36" s="20" t="s">
        <v>150</v>
      </c>
      <c r="D36" s="20" t="s">
        <v>183</v>
      </c>
      <c r="E36" s="20" t="s">
        <v>55</v>
      </c>
      <c r="F36" s="20"/>
      <c r="G36" s="20" t="s">
        <v>741</v>
      </c>
      <c r="H36" s="21">
        <v>28.94</v>
      </c>
      <c r="I36" s="20" t="s">
        <v>742</v>
      </c>
      <c r="J36" s="20" t="s">
        <v>741</v>
      </c>
      <c r="K36" s="20" t="s">
        <v>743</v>
      </c>
      <c r="L36" s="20" t="s">
        <v>119</v>
      </c>
      <c r="M36" s="20" t="s">
        <v>120</v>
      </c>
      <c r="N36" s="20" t="s">
        <v>45</v>
      </c>
      <c r="O36" s="20" t="s">
        <v>744</v>
      </c>
      <c r="P36" s="20" t="s">
        <v>122</v>
      </c>
    </row>
    <row r="37" ht="60.0" customHeight="1">
      <c r="A37" s="4" t="s">
        <v>710</v>
      </c>
      <c r="B37" s="17" t="s">
        <v>149</v>
      </c>
      <c r="C37" s="17" t="s">
        <v>150</v>
      </c>
      <c r="D37" s="17" t="s">
        <v>91</v>
      </c>
      <c r="E37" s="17" t="s">
        <v>55</v>
      </c>
      <c r="F37" s="17"/>
      <c r="G37" s="17" t="s">
        <v>748</v>
      </c>
      <c r="H37" s="18">
        <v>29.91</v>
      </c>
      <c r="I37" s="17" t="s">
        <v>749</v>
      </c>
      <c r="J37" s="17" t="s">
        <v>750</v>
      </c>
      <c r="K37" s="17" t="s">
        <v>751</v>
      </c>
      <c r="L37" s="17" t="s">
        <v>71</v>
      </c>
      <c r="M37" s="17" t="s">
        <v>249</v>
      </c>
      <c r="N37" s="17" t="s">
        <v>45</v>
      </c>
      <c r="O37" s="17" t="s">
        <v>752</v>
      </c>
      <c r="P37" s="17" t="s">
        <v>753</v>
      </c>
    </row>
    <row r="38" ht="60.0" customHeight="1">
      <c r="A38" s="4" t="s">
        <v>710</v>
      </c>
      <c r="B38" s="20" t="s">
        <v>149</v>
      </c>
      <c r="C38" s="20" t="s">
        <v>150</v>
      </c>
      <c r="D38" s="20" t="s">
        <v>65</v>
      </c>
      <c r="E38" s="20" t="s">
        <v>55</v>
      </c>
      <c r="F38" s="20"/>
      <c r="G38" s="20" t="s">
        <v>700</v>
      </c>
      <c r="H38" s="21">
        <v>32.51</v>
      </c>
      <c r="I38" s="20" t="s">
        <v>772</v>
      </c>
      <c r="J38" s="20" t="s">
        <v>700</v>
      </c>
      <c r="K38" s="20" t="s">
        <v>702</v>
      </c>
      <c r="L38" s="20" t="s">
        <v>71</v>
      </c>
      <c r="M38" s="20" t="s">
        <v>112</v>
      </c>
      <c r="N38" s="20" t="s">
        <v>45</v>
      </c>
      <c r="O38" s="20" t="s">
        <v>773</v>
      </c>
      <c r="P38" s="20" t="s">
        <v>114</v>
      </c>
    </row>
    <row r="39" ht="60.0" customHeight="1">
      <c r="A39" s="4" t="s">
        <v>506</v>
      </c>
      <c r="B39" s="20" t="s">
        <v>149</v>
      </c>
      <c r="C39" s="20" t="s">
        <v>150</v>
      </c>
      <c r="D39" s="20" t="s">
        <v>37</v>
      </c>
      <c r="E39" s="20" t="s">
        <v>55</v>
      </c>
      <c r="F39" s="20"/>
      <c r="G39" s="20" t="s">
        <v>700</v>
      </c>
      <c r="H39" s="21">
        <v>36.04</v>
      </c>
      <c r="I39" s="20" t="s">
        <v>797</v>
      </c>
      <c r="J39" s="20" t="s">
        <v>700</v>
      </c>
      <c r="K39" s="20" t="s">
        <v>702</v>
      </c>
      <c r="L39" s="20" t="s">
        <v>71</v>
      </c>
      <c r="M39" s="20" t="s">
        <v>112</v>
      </c>
      <c r="N39" s="20" t="s">
        <v>45</v>
      </c>
      <c r="O39" s="20" t="s">
        <v>798</v>
      </c>
      <c r="P39" s="20" t="s">
        <v>114</v>
      </c>
    </row>
    <row r="40" ht="60.0" customHeight="1">
      <c r="A40" s="4" t="s">
        <v>506</v>
      </c>
      <c r="B40" s="17" t="s">
        <v>149</v>
      </c>
      <c r="C40" s="17" t="s">
        <v>150</v>
      </c>
      <c r="D40" s="17" t="s">
        <v>91</v>
      </c>
      <c r="E40" s="17" t="s">
        <v>55</v>
      </c>
      <c r="F40" s="17"/>
      <c r="G40" s="17" t="s">
        <v>873</v>
      </c>
      <c r="H40" s="18">
        <v>49.98</v>
      </c>
      <c r="I40" s="17" t="s">
        <v>874</v>
      </c>
      <c r="J40" s="17" t="s">
        <v>873</v>
      </c>
      <c r="K40" s="17" t="s">
        <v>279</v>
      </c>
      <c r="L40" s="17" t="s">
        <v>280</v>
      </c>
      <c r="M40" s="17" t="s">
        <v>281</v>
      </c>
      <c r="N40" s="17" t="s">
        <v>45</v>
      </c>
      <c r="O40" s="17" t="s">
        <v>875</v>
      </c>
      <c r="P40" s="17" t="s">
        <v>64</v>
      </c>
    </row>
    <row r="41" ht="60.0" customHeight="1">
      <c r="A41" s="4" t="s">
        <v>506</v>
      </c>
      <c r="B41" s="17" t="s">
        <v>149</v>
      </c>
      <c r="C41" s="17" t="s">
        <v>150</v>
      </c>
      <c r="D41" s="17" t="s">
        <v>156</v>
      </c>
      <c r="E41" s="17" t="s">
        <v>55</v>
      </c>
      <c r="F41" s="17"/>
      <c r="G41" s="17" t="s">
        <v>907</v>
      </c>
      <c r="H41" s="18">
        <v>56.67</v>
      </c>
      <c r="I41" s="17" t="s">
        <v>908</v>
      </c>
      <c r="J41" s="17" t="s">
        <v>907</v>
      </c>
      <c r="K41" s="17" t="s">
        <v>208</v>
      </c>
      <c r="L41" s="17" t="s">
        <v>97</v>
      </c>
      <c r="M41" s="17" t="s">
        <v>98</v>
      </c>
      <c r="N41" s="17" t="s">
        <v>45</v>
      </c>
      <c r="O41" s="17" t="s">
        <v>909</v>
      </c>
      <c r="P41" s="17" t="s">
        <v>64</v>
      </c>
    </row>
    <row r="42" ht="60.0" customHeight="1">
      <c r="A42" s="4" t="s">
        <v>506</v>
      </c>
      <c r="B42" s="17" t="s">
        <v>149</v>
      </c>
      <c r="C42" s="17" t="s">
        <v>150</v>
      </c>
      <c r="D42" s="17" t="s">
        <v>183</v>
      </c>
      <c r="E42" s="17" t="s">
        <v>55</v>
      </c>
      <c r="F42" s="17"/>
      <c r="G42" s="17" t="s">
        <v>918</v>
      </c>
      <c r="H42" s="18">
        <v>59.89</v>
      </c>
      <c r="I42" s="17" t="s">
        <v>919</v>
      </c>
      <c r="J42" s="17" t="s">
        <v>918</v>
      </c>
      <c r="K42" s="17" t="s">
        <v>920</v>
      </c>
      <c r="L42" s="17" t="s">
        <v>119</v>
      </c>
      <c r="M42" s="17" t="s">
        <v>120</v>
      </c>
      <c r="N42" s="17" t="s">
        <v>45</v>
      </c>
      <c r="O42" s="17" t="s">
        <v>921</v>
      </c>
      <c r="P42" s="17" t="s">
        <v>174</v>
      </c>
    </row>
    <row r="43" ht="60.0" customHeight="1">
      <c r="A43" s="4" t="s">
        <v>506</v>
      </c>
      <c r="B43" s="17" t="s">
        <v>149</v>
      </c>
      <c r="C43" s="17" t="s">
        <v>150</v>
      </c>
      <c r="D43" s="17" t="s">
        <v>83</v>
      </c>
      <c r="E43" s="17" t="s">
        <v>55</v>
      </c>
      <c r="F43" s="17"/>
      <c r="G43" s="17" t="s">
        <v>228</v>
      </c>
      <c r="H43" s="18">
        <v>75.77</v>
      </c>
      <c r="I43" s="17" t="s">
        <v>976</v>
      </c>
      <c r="J43" s="17" t="s">
        <v>228</v>
      </c>
      <c r="K43" s="17" t="s">
        <v>230</v>
      </c>
      <c r="L43" s="17" t="s">
        <v>119</v>
      </c>
      <c r="M43" s="17" t="s">
        <v>231</v>
      </c>
      <c r="N43" s="17" t="s">
        <v>45</v>
      </c>
      <c r="O43" s="17" t="s">
        <v>977</v>
      </c>
      <c r="P43" s="17" t="s">
        <v>64</v>
      </c>
    </row>
    <row r="44" ht="60.0" customHeight="1">
      <c r="A44" s="4" t="s">
        <v>506</v>
      </c>
      <c r="B44" s="20" t="s">
        <v>149</v>
      </c>
      <c r="C44" s="20" t="s">
        <v>150</v>
      </c>
      <c r="D44" s="20" t="s">
        <v>367</v>
      </c>
      <c r="E44" s="20" t="s">
        <v>55</v>
      </c>
      <c r="F44" s="20"/>
      <c r="G44" s="20" t="s">
        <v>92</v>
      </c>
      <c r="H44" s="21">
        <v>78.44</v>
      </c>
      <c r="I44" s="20" t="s">
        <v>978</v>
      </c>
      <c r="J44" s="20" t="s">
        <v>92</v>
      </c>
      <c r="K44" s="20" t="s">
        <v>208</v>
      </c>
      <c r="L44" s="20" t="s">
        <v>97</v>
      </c>
      <c r="M44" s="20" t="s">
        <v>98</v>
      </c>
      <c r="N44" s="20" t="s">
        <v>45</v>
      </c>
      <c r="O44" s="20" t="s">
        <v>979</v>
      </c>
      <c r="P44" s="20" t="s">
        <v>64</v>
      </c>
    </row>
    <row r="45" ht="60.0" customHeight="1">
      <c r="A45" s="4" t="s">
        <v>506</v>
      </c>
      <c r="B45" s="20" t="s">
        <v>149</v>
      </c>
      <c r="C45" s="20" t="s">
        <v>150</v>
      </c>
      <c r="D45" s="20" t="s">
        <v>290</v>
      </c>
      <c r="E45" s="20" t="s">
        <v>55</v>
      </c>
      <c r="F45" s="20"/>
      <c r="G45" s="20" t="s">
        <v>302</v>
      </c>
      <c r="H45" s="21">
        <v>79.01</v>
      </c>
      <c r="I45" s="20" t="s">
        <v>987</v>
      </c>
      <c r="J45" s="20" t="s">
        <v>302</v>
      </c>
      <c r="K45" s="20" t="s">
        <v>304</v>
      </c>
      <c r="L45" s="20" t="s">
        <v>305</v>
      </c>
      <c r="M45" s="20" t="s">
        <v>306</v>
      </c>
      <c r="N45" s="20" t="s">
        <v>45</v>
      </c>
      <c r="O45" s="20" t="s">
        <v>988</v>
      </c>
      <c r="P45" s="20" t="s">
        <v>308</v>
      </c>
    </row>
    <row r="46" ht="60.0" customHeight="1">
      <c r="A46" s="4" t="s">
        <v>506</v>
      </c>
      <c r="B46" s="20" t="s">
        <v>149</v>
      </c>
      <c r="C46" s="20" t="s">
        <v>150</v>
      </c>
      <c r="D46" s="20" t="s">
        <v>156</v>
      </c>
      <c r="E46" s="20" t="s">
        <v>55</v>
      </c>
      <c r="F46" s="20"/>
      <c r="G46" s="20" t="s">
        <v>302</v>
      </c>
      <c r="H46" s="21">
        <v>79.01</v>
      </c>
      <c r="I46" s="20" t="s">
        <v>989</v>
      </c>
      <c r="J46" s="20" t="s">
        <v>302</v>
      </c>
      <c r="K46" s="20" t="s">
        <v>304</v>
      </c>
      <c r="L46" s="20" t="s">
        <v>305</v>
      </c>
      <c r="M46" s="20" t="s">
        <v>306</v>
      </c>
      <c r="N46" s="20" t="s">
        <v>45</v>
      </c>
      <c r="O46" s="20" t="s">
        <v>990</v>
      </c>
      <c r="P46" s="20" t="s">
        <v>308</v>
      </c>
    </row>
    <row r="47" ht="60.0" customHeight="1">
      <c r="A47" s="4" t="s">
        <v>506</v>
      </c>
      <c r="B47" s="20" t="s">
        <v>149</v>
      </c>
      <c r="C47" s="20" t="s">
        <v>150</v>
      </c>
      <c r="D47" s="20" t="s">
        <v>108</v>
      </c>
      <c r="E47" s="20" t="s">
        <v>55</v>
      </c>
      <c r="F47" s="20"/>
      <c r="G47" s="20" t="s">
        <v>302</v>
      </c>
      <c r="H47" s="21">
        <v>79.01</v>
      </c>
      <c r="I47" s="20" t="s">
        <v>991</v>
      </c>
      <c r="J47" s="20" t="s">
        <v>302</v>
      </c>
      <c r="K47" s="20" t="s">
        <v>304</v>
      </c>
      <c r="L47" s="20" t="s">
        <v>305</v>
      </c>
      <c r="M47" s="20" t="s">
        <v>306</v>
      </c>
      <c r="N47" s="20" t="s">
        <v>45</v>
      </c>
      <c r="O47" s="20" t="s">
        <v>992</v>
      </c>
      <c r="P47" s="20" t="s">
        <v>308</v>
      </c>
    </row>
    <row r="48" ht="60.0" customHeight="1">
      <c r="A48" s="4" t="s">
        <v>506</v>
      </c>
      <c r="B48" s="17" t="s">
        <v>149</v>
      </c>
      <c r="C48" s="17" t="s">
        <v>150</v>
      </c>
      <c r="D48" s="17" t="s">
        <v>367</v>
      </c>
      <c r="E48" s="17" t="s">
        <v>55</v>
      </c>
      <c r="F48" s="17"/>
      <c r="G48" s="17" t="s">
        <v>92</v>
      </c>
      <c r="H48" s="18">
        <v>80.35</v>
      </c>
      <c r="I48" s="17" t="s">
        <v>993</v>
      </c>
      <c r="J48" s="17" t="s">
        <v>92</v>
      </c>
      <c r="K48" s="17" t="s">
        <v>208</v>
      </c>
      <c r="L48" s="17" t="s">
        <v>97</v>
      </c>
      <c r="M48" s="17" t="s">
        <v>98</v>
      </c>
      <c r="N48" s="17" t="s">
        <v>45</v>
      </c>
      <c r="O48" s="17" t="s">
        <v>994</v>
      </c>
      <c r="P48" s="17" t="s">
        <v>64</v>
      </c>
    </row>
    <row r="49" ht="60.0" customHeight="1">
      <c r="A49" s="4" t="s">
        <v>506</v>
      </c>
      <c r="B49" s="20" t="s">
        <v>149</v>
      </c>
      <c r="C49" s="20" t="s">
        <v>150</v>
      </c>
      <c r="D49" s="20" t="s">
        <v>183</v>
      </c>
      <c r="E49" s="20" t="s">
        <v>55</v>
      </c>
      <c r="F49" s="20"/>
      <c r="G49" s="20" t="s">
        <v>228</v>
      </c>
      <c r="H49" s="21">
        <v>98.77</v>
      </c>
      <c r="I49" s="20" t="s">
        <v>1036</v>
      </c>
      <c r="J49" s="20" t="s">
        <v>228</v>
      </c>
      <c r="K49" s="20" t="s">
        <v>230</v>
      </c>
      <c r="L49" s="20" t="s">
        <v>119</v>
      </c>
      <c r="M49" s="20" t="s">
        <v>231</v>
      </c>
      <c r="N49" s="20" t="s">
        <v>45</v>
      </c>
      <c r="O49" s="20" t="s">
        <v>1037</v>
      </c>
      <c r="P49" s="20" t="s">
        <v>64</v>
      </c>
    </row>
    <row r="50" ht="60.0" customHeight="1">
      <c r="A50" s="4" t="s">
        <v>506</v>
      </c>
      <c r="B50" s="17" t="s">
        <v>149</v>
      </c>
      <c r="C50" s="17" t="s">
        <v>150</v>
      </c>
      <c r="D50" s="17" t="s">
        <v>134</v>
      </c>
      <c r="E50" s="17" t="s">
        <v>55</v>
      </c>
      <c r="F50" s="17"/>
      <c r="G50" s="17" t="s">
        <v>228</v>
      </c>
      <c r="H50" s="18">
        <v>98.77</v>
      </c>
      <c r="I50" s="17" t="s">
        <v>1038</v>
      </c>
      <c r="J50" s="17" t="s">
        <v>228</v>
      </c>
      <c r="K50" s="17" t="s">
        <v>230</v>
      </c>
      <c r="L50" s="17" t="s">
        <v>119</v>
      </c>
      <c r="M50" s="17" t="s">
        <v>231</v>
      </c>
      <c r="N50" s="17" t="s">
        <v>45</v>
      </c>
      <c r="O50" s="17" t="s">
        <v>1039</v>
      </c>
      <c r="P50" s="17" t="s">
        <v>64</v>
      </c>
    </row>
    <row r="51" ht="60.0" customHeight="1">
      <c r="A51" s="4" t="s">
        <v>506</v>
      </c>
      <c r="B51" s="20" t="s">
        <v>149</v>
      </c>
      <c r="C51" s="20" t="s">
        <v>150</v>
      </c>
      <c r="D51" s="20" t="s">
        <v>108</v>
      </c>
      <c r="E51" s="20" t="s">
        <v>55</v>
      </c>
      <c r="F51" s="20"/>
      <c r="G51" s="20" t="s">
        <v>557</v>
      </c>
      <c r="H51" s="21">
        <v>100.0</v>
      </c>
      <c r="I51" s="20" t="s">
        <v>1069</v>
      </c>
      <c r="J51" s="20" t="s">
        <v>557</v>
      </c>
      <c r="K51" s="20" t="s">
        <v>188</v>
      </c>
      <c r="L51" s="20" t="s">
        <v>189</v>
      </c>
      <c r="M51" s="20" t="s">
        <v>190</v>
      </c>
      <c r="N51" s="20" t="s">
        <v>45</v>
      </c>
      <c r="O51" s="20" t="s">
        <v>1070</v>
      </c>
      <c r="P51" s="20" t="s">
        <v>64</v>
      </c>
    </row>
    <row r="52" ht="60.0" customHeight="1">
      <c r="A52" s="4" t="s">
        <v>710</v>
      </c>
      <c r="B52" s="17" t="s">
        <v>149</v>
      </c>
      <c r="C52" s="17" t="s">
        <v>150</v>
      </c>
      <c r="D52" s="17" t="s">
        <v>290</v>
      </c>
      <c r="E52" s="17" t="s">
        <v>55</v>
      </c>
      <c r="F52" s="17"/>
      <c r="G52" s="17" t="s">
        <v>509</v>
      </c>
      <c r="H52" s="18">
        <v>176.62</v>
      </c>
      <c r="I52" s="17" t="s">
        <v>1209</v>
      </c>
      <c r="J52" s="17" t="s">
        <v>509</v>
      </c>
      <c r="K52" s="17" t="s">
        <v>511</v>
      </c>
      <c r="L52" s="17" t="s">
        <v>512</v>
      </c>
      <c r="M52" s="17" t="s">
        <v>513</v>
      </c>
      <c r="N52" s="17" t="s">
        <v>45</v>
      </c>
      <c r="O52" s="17" t="s">
        <v>1210</v>
      </c>
      <c r="P52" s="17" t="s">
        <v>64</v>
      </c>
    </row>
    <row r="53" ht="60.0" customHeight="1">
      <c r="A53" s="4" t="s">
        <v>710</v>
      </c>
      <c r="B53" s="17" t="s">
        <v>149</v>
      </c>
      <c r="C53" s="17" t="s">
        <v>150</v>
      </c>
      <c r="D53" s="17" t="s">
        <v>83</v>
      </c>
      <c r="E53" s="17" t="s">
        <v>55</v>
      </c>
      <c r="F53" s="17"/>
      <c r="G53" s="17" t="s">
        <v>157</v>
      </c>
      <c r="H53" s="18">
        <v>181.1</v>
      </c>
      <c r="I53" s="17" t="s">
        <v>1211</v>
      </c>
      <c r="J53" s="17" t="s">
        <v>159</v>
      </c>
      <c r="K53" s="17" t="s">
        <v>86</v>
      </c>
      <c r="L53" s="17" t="s">
        <v>87</v>
      </c>
      <c r="M53" s="17" t="s">
        <v>88</v>
      </c>
      <c r="N53" s="17" t="s">
        <v>45</v>
      </c>
      <c r="O53" s="17" t="s">
        <v>1212</v>
      </c>
      <c r="P53" s="17" t="s">
        <v>90</v>
      </c>
    </row>
    <row r="54" ht="60.0" customHeight="1">
      <c r="A54" s="4" t="s">
        <v>710</v>
      </c>
      <c r="B54" s="20" t="s">
        <v>149</v>
      </c>
      <c r="C54" s="20" t="s">
        <v>150</v>
      </c>
      <c r="D54" s="20" t="s">
        <v>54</v>
      </c>
      <c r="E54" s="20" t="s">
        <v>55</v>
      </c>
      <c r="F54" s="20"/>
      <c r="G54" s="20" t="s">
        <v>509</v>
      </c>
      <c r="H54" s="21">
        <v>212.33</v>
      </c>
      <c r="I54" s="20" t="s">
        <v>1237</v>
      </c>
      <c r="J54" s="20" t="s">
        <v>509</v>
      </c>
      <c r="K54" s="20" t="s">
        <v>511</v>
      </c>
      <c r="L54" s="20" t="s">
        <v>512</v>
      </c>
      <c r="M54" s="20" t="s">
        <v>513</v>
      </c>
      <c r="N54" s="20" t="s">
        <v>45</v>
      </c>
      <c r="O54" s="20" t="s">
        <v>1238</v>
      </c>
      <c r="P54" s="20" t="s">
        <v>64</v>
      </c>
    </row>
    <row r="55" ht="60.0" customHeight="1">
      <c r="A55" s="4" t="s">
        <v>710</v>
      </c>
      <c r="B55" s="20" t="s">
        <v>149</v>
      </c>
      <c r="C55" s="20" t="s">
        <v>150</v>
      </c>
      <c r="D55" s="20" t="s">
        <v>301</v>
      </c>
      <c r="E55" s="20" t="s">
        <v>55</v>
      </c>
      <c r="F55" s="20"/>
      <c r="G55" s="20" t="s">
        <v>302</v>
      </c>
      <c r="H55" s="21">
        <v>237.03</v>
      </c>
      <c r="I55" s="20" t="s">
        <v>1250</v>
      </c>
      <c r="J55" s="20" t="s">
        <v>302</v>
      </c>
      <c r="K55" s="20" t="s">
        <v>304</v>
      </c>
      <c r="L55" s="20" t="s">
        <v>305</v>
      </c>
      <c r="M55" s="20" t="s">
        <v>306</v>
      </c>
      <c r="N55" s="20" t="s">
        <v>45</v>
      </c>
      <c r="O55" s="20" t="s">
        <v>1251</v>
      </c>
      <c r="P55" s="20" t="s">
        <v>308</v>
      </c>
    </row>
    <row r="56" ht="60.0" customHeight="1">
      <c r="A56" s="4" t="s">
        <v>710</v>
      </c>
      <c r="B56" s="17" t="s">
        <v>149</v>
      </c>
      <c r="C56" s="17" t="s">
        <v>150</v>
      </c>
      <c r="D56" s="17" t="s">
        <v>233</v>
      </c>
      <c r="E56" s="17" t="s">
        <v>55</v>
      </c>
      <c r="F56" s="17"/>
      <c r="G56" s="17" t="s">
        <v>1282</v>
      </c>
      <c r="H56" s="18">
        <v>271.33</v>
      </c>
      <c r="I56" s="17" t="s">
        <v>1283</v>
      </c>
      <c r="J56" s="17" t="s">
        <v>1282</v>
      </c>
      <c r="K56" s="17" t="s">
        <v>1284</v>
      </c>
      <c r="L56" s="17" t="s">
        <v>1285</v>
      </c>
      <c r="M56" s="17" t="s">
        <v>1286</v>
      </c>
      <c r="N56" s="17" t="s">
        <v>45</v>
      </c>
      <c r="O56" s="17" t="s">
        <v>1287</v>
      </c>
      <c r="P56" s="17" t="s">
        <v>174</v>
      </c>
    </row>
    <row r="57" ht="60.0" customHeight="1">
      <c r="A57" s="4" t="s">
        <v>710</v>
      </c>
      <c r="B57" s="20" t="s">
        <v>149</v>
      </c>
      <c r="C57" s="20" t="s">
        <v>150</v>
      </c>
      <c r="D57" s="20" t="s">
        <v>65</v>
      </c>
      <c r="E57" s="20" t="s">
        <v>55</v>
      </c>
      <c r="F57" s="20"/>
      <c r="G57" s="20" t="s">
        <v>1296</v>
      </c>
      <c r="H57" s="21">
        <v>282.56</v>
      </c>
      <c r="I57" s="20" t="s">
        <v>1297</v>
      </c>
      <c r="J57" s="20" t="s">
        <v>1296</v>
      </c>
      <c r="K57" s="20" t="s">
        <v>618</v>
      </c>
      <c r="L57" s="20" t="s">
        <v>619</v>
      </c>
      <c r="M57" s="20" t="s">
        <v>1298</v>
      </c>
      <c r="N57" s="20" t="s">
        <v>45</v>
      </c>
      <c r="O57" s="20" t="s">
        <v>1299</v>
      </c>
      <c r="P57" s="20" t="s">
        <v>64</v>
      </c>
    </row>
    <row r="58" ht="60.0" customHeight="1">
      <c r="A58" s="4" t="s">
        <v>710</v>
      </c>
      <c r="B58" s="17" t="s">
        <v>149</v>
      </c>
      <c r="C58" s="17" t="s">
        <v>150</v>
      </c>
      <c r="D58" s="17" t="s">
        <v>54</v>
      </c>
      <c r="E58" s="17" t="s">
        <v>55</v>
      </c>
      <c r="F58" s="17"/>
      <c r="G58" s="17" t="s">
        <v>509</v>
      </c>
      <c r="H58" s="18">
        <v>350.0</v>
      </c>
      <c r="I58" s="17" t="s">
        <v>1328</v>
      </c>
      <c r="J58" s="17" t="s">
        <v>509</v>
      </c>
      <c r="K58" s="17" t="s">
        <v>511</v>
      </c>
      <c r="L58" s="17" t="s">
        <v>512</v>
      </c>
      <c r="M58" s="17" t="s">
        <v>513</v>
      </c>
      <c r="N58" s="17" t="s">
        <v>45</v>
      </c>
      <c r="O58" s="17" t="s">
        <v>1329</v>
      </c>
      <c r="P58" s="17" t="s">
        <v>64</v>
      </c>
    </row>
    <row r="59" ht="60.0" customHeight="1">
      <c r="A59" s="4" t="s">
        <v>710</v>
      </c>
      <c r="B59" s="20" t="s">
        <v>149</v>
      </c>
      <c r="C59" s="20" t="s">
        <v>150</v>
      </c>
      <c r="D59" s="20" t="s">
        <v>115</v>
      </c>
      <c r="E59" s="20" t="s">
        <v>55</v>
      </c>
      <c r="F59" s="20"/>
      <c r="G59" s="20" t="s">
        <v>451</v>
      </c>
      <c r="H59" s="21">
        <v>387.38</v>
      </c>
      <c r="I59" s="20" t="s">
        <v>1332</v>
      </c>
      <c r="J59" s="20" t="s">
        <v>451</v>
      </c>
      <c r="K59" s="20" t="s">
        <v>453</v>
      </c>
      <c r="L59" s="20" t="s">
        <v>454</v>
      </c>
      <c r="M59" s="20" t="s">
        <v>455</v>
      </c>
      <c r="N59" s="20" t="s">
        <v>45</v>
      </c>
      <c r="O59" s="20" t="s">
        <v>1333</v>
      </c>
      <c r="P59" s="20" t="s">
        <v>64</v>
      </c>
    </row>
    <row r="60" ht="60.0" customHeight="1">
      <c r="A60" s="22" t="s">
        <v>710</v>
      </c>
      <c r="B60" s="17" t="s">
        <v>149</v>
      </c>
      <c r="C60" s="17" t="s">
        <v>150</v>
      </c>
      <c r="D60" s="17" t="s">
        <v>183</v>
      </c>
      <c r="E60" s="17" t="s">
        <v>55</v>
      </c>
      <c r="F60" s="17"/>
      <c r="G60" s="17" t="s">
        <v>1361</v>
      </c>
      <c r="H60" s="18">
        <v>717.62</v>
      </c>
      <c r="I60" s="17" t="s">
        <v>1362</v>
      </c>
      <c r="J60" s="17" t="s">
        <v>1361</v>
      </c>
      <c r="K60" s="17" t="s">
        <v>1363</v>
      </c>
      <c r="L60" s="17" t="s">
        <v>1364</v>
      </c>
      <c r="M60" s="17" t="s">
        <v>1365</v>
      </c>
      <c r="N60" s="17" t="s">
        <v>45</v>
      </c>
      <c r="O60" s="17" t="s">
        <v>1366</v>
      </c>
      <c r="P60" s="17" t="s">
        <v>502</v>
      </c>
    </row>
    <row r="61" ht="15.75" customHeight="1">
      <c r="H61" s="3"/>
    </row>
    <row r="62" ht="15.75" customHeight="1">
      <c r="H62" s="3"/>
    </row>
    <row r="63" ht="15.75" customHeight="1">
      <c r="B63" s="4" t="s">
        <v>14</v>
      </c>
      <c r="H63" s="3">
        <f>SUM(H2:H62)</f>
        <v>6263.84</v>
      </c>
    </row>
    <row r="64" ht="15.75" customHeight="1">
      <c r="H64" s="3"/>
    </row>
    <row r="65" ht="15.75" customHeight="1">
      <c r="B65" s="5" t="s">
        <v>5</v>
      </c>
      <c r="C65" s="5"/>
      <c r="H65" s="11"/>
      <c r="I65" s="5" t="s">
        <v>7</v>
      </c>
      <c r="J65" s="5" t="s">
        <v>8</v>
      </c>
      <c r="K65" s="5" t="s">
        <v>9</v>
      </c>
    </row>
    <row r="66" ht="15.75" customHeight="1">
      <c r="B66" s="7" t="s">
        <v>10</v>
      </c>
      <c r="C66" s="7"/>
      <c r="H66" s="12">
        <f>SUMIF(A2:A60,"No",H2:H60)</f>
        <v>2049.4</v>
      </c>
      <c r="I66" s="7">
        <f>COUNTIF(A2:A60,"No")</f>
        <v>11</v>
      </c>
      <c r="J66" s="9">
        <f t="shared" ref="J66:K66" si="1">H66/H68</f>
        <v>0.3271794937</v>
      </c>
      <c r="K66" s="9">
        <f t="shared" si="1"/>
        <v>0.186440678</v>
      </c>
    </row>
    <row r="67" ht="15.75" customHeight="1">
      <c r="B67" s="4" t="s">
        <v>11</v>
      </c>
      <c r="H67" s="3">
        <f>SUMIF(A2:A60,"Yes",H2:H60)</f>
        <v>4214.44</v>
      </c>
      <c r="I67" s="4">
        <f>COUNTIF(A2:A60,"Yes")</f>
        <v>48</v>
      </c>
      <c r="J67" s="10">
        <f t="shared" ref="J67:K67" si="2">H67/H68</f>
        <v>0.6728205063</v>
      </c>
      <c r="K67" s="10">
        <f t="shared" si="2"/>
        <v>0.813559322</v>
      </c>
    </row>
    <row r="68" ht="15.75" customHeight="1">
      <c r="B68" s="4" t="s">
        <v>14</v>
      </c>
      <c r="H68" s="3">
        <f t="shared" ref="H68:I68" si="3">SUM(H66:H67)</f>
        <v>6263.84</v>
      </c>
      <c r="I68" s="4">
        <f t="shared" si="3"/>
        <v>59</v>
      </c>
      <c r="J68" s="10"/>
      <c r="K68" s="10"/>
    </row>
    <row r="69" ht="15.75" customHeight="1">
      <c r="H69" s="3"/>
    </row>
    <row r="70" ht="15.75" customHeight="1">
      <c r="H70" s="3"/>
    </row>
    <row r="71" ht="15.75" customHeight="1">
      <c r="H71" s="3"/>
    </row>
    <row r="72" ht="15.75" customHeight="1">
      <c r="H72" s="3"/>
    </row>
    <row r="73" ht="15.75" customHeight="1">
      <c r="H73" s="3"/>
    </row>
    <row r="74" ht="15.75" customHeight="1">
      <c r="H74" s="3"/>
    </row>
    <row r="75" ht="15.75" customHeight="1">
      <c r="H75" s="3"/>
    </row>
    <row r="76" ht="15.75" customHeight="1">
      <c r="H76" s="3"/>
    </row>
    <row r="77" ht="15.75" customHeight="1">
      <c r="H77" s="3"/>
    </row>
    <row r="78" ht="15.75" customHeight="1">
      <c r="H78" s="3"/>
    </row>
    <row r="79" ht="15.75" customHeight="1">
      <c r="H79" s="3"/>
    </row>
    <row r="80" ht="15.75" customHeight="1">
      <c r="H80" s="3"/>
    </row>
    <row r="81" ht="15.75" customHeight="1">
      <c r="H81" s="3"/>
    </row>
    <row r="82" ht="15.75" customHeight="1">
      <c r="H82" s="3"/>
    </row>
    <row r="83" ht="15.75" customHeight="1">
      <c r="H83" s="3"/>
    </row>
    <row r="84" ht="15.75" customHeight="1">
      <c r="H84" s="3"/>
    </row>
    <row r="85" ht="15.75" customHeight="1">
      <c r="H85" s="3"/>
    </row>
    <row r="86" ht="15.75" customHeight="1">
      <c r="H86" s="3"/>
    </row>
    <row r="87" ht="15.75" customHeight="1">
      <c r="H87" s="3"/>
    </row>
    <row r="88" ht="15.75" customHeight="1">
      <c r="H88" s="3"/>
    </row>
    <row r="89" ht="15.75" customHeight="1">
      <c r="H89" s="3"/>
    </row>
    <row r="90" ht="15.75" customHeight="1">
      <c r="H90" s="3"/>
    </row>
    <row r="91" ht="15.75" customHeight="1">
      <c r="H91" s="3"/>
    </row>
    <row r="92" ht="15.75" customHeight="1">
      <c r="H92" s="3"/>
    </row>
    <row r="93" ht="15.75" customHeight="1">
      <c r="H93" s="3"/>
    </row>
    <row r="94" ht="15.75" customHeight="1">
      <c r="H94" s="3"/>
    </row>
    <row r="95" ht="15.75" customHeight="1">
      <c r="H95" s="3"/>
    </row>
    <row r="96" ht="15.75" customHeight="1">
      <c r="H96" s="3"/>
    </row>
    <row r="97" ht="15.75" customHeight="1">
      <c r="H97" s="3"/>
    </row>
    <row r="98" ht="15.75" customHeight="1">
      <c r="H98" s="3"/>
    </row>
    <row r="99" ht="15.75" customHeight="1">
      <c r="H99" s="3"/>
    </row>
    <row r="100" ht="15.75" customHeight="1">
      <c r="H100" s="3"/>
    </row>
    <row r="101" ht="15.75" customHeight="1">
      <c r="H101" s="3"/>
    </row>
    <row r="102" ht="15.75" customHeight="1">
      <c r="H102" s="3"/>
    </row>
    <row r="103" ht="15.75" customHeight="1">
      <c r="H103" s="3"/>
    </row>
    <row r="104" ht="15.75" customHeight="1">
      <c r="H104" s="3"/>
    </row>
    <row r="105" ht="15.75" customHeight="1">
      <c r="H105" s="3"/>
    </row>
    <row r="106" ht="15.75" customHeight="1">
      <c r="H106" s="3"/>
    </row>
    <row r="107" ht="15.75" customHeight="1">
      <c r="H107" s="3"/>
    </row>
    <row r="108" ht="15.75" customHeight="1">
      <c r="H108" s="3"/>
    </row>
    <row r="109" ht="15.75" customHeight="1">
      <c r="H109" s="3"/>
    </row>
    <row r="110" ht="15.75" customHeight="1">
      <c r="H110" s="3"/>
    </row>
    <row r="111" ht="15.75" customHeight="1">
      <c r="H111" s="3"/>
    </row>
    <row r="112" ht="15.75" customHeight="1">
      <c r="H112" s="3"/>
    </row>
    <row r="113" ht="15.75" customHeight="1">
      <c r="H113" s="3"/>
    </row>
    <row r="114" ht="15.75" customHeight="1">
      <c r="H114" s="3"/>
    </row>
    <row r="115" ht="15.75" customHeight="1">
      <c r="H115" s="3"/>
    </row>
    <row r="116" ht="15.75" customHeight="1">
      <c r="H116" s="3"/>
    </row>
    <row r="117" ht="15.75" customHeight="1">
      <c r="H117" s="3"/>
    </row>
    <row r="118" ht="15.75" customHeight="1">
      <c r="H118" s="3"/>
    </row>
    <row r="119" ht="15.75" customHeight="1">
      <c r="H119" s="3"/>
    </row>
    <row r="120" ht="15.75" customHeight="1">
      <c r="H120" s="3"/>
    </row>
    <row r="121" ht="15.75" customHeight="1">
      <c r="H121" s="3"/>
    </row>
    <row r="122" ht="15.75" customHeight="1">
      <c r="H122" s="3"/>
    </row>
    <row r="123" ht="15.75" customHeight="1">
      <c r="H123" s="3"/>
    </row>
    <row r="124" ht="15.75" customHeight="1">
      <c r="H124" s="3"/>
    </row>
    <row r="125" ht="15.75" customHeight="1">
      <c r="H125" s="3"/>
    </row>
    <row r="126" ht="15.75" customHeight="1">
      <c r="H126" s="3"/>
    </row>
    <row r="127" ht="15.75" customHeight="1">
      <c r="H127" s="3"/>
    </row>
    <row r="128" ht="15.75" customHeight="1">
      <c r="H128" s="3"/>
    </row>
    <row r="129" ht="15.75" customHeight="1">
      <c r="H129" s="3"/>
    </row>
    <row r="130" ht="15.75" customHeight="1">
      <c r="H130" s="3"/>
    </row>
    <row r="131" ht="15.75" customHeight="1">
      <c r="H131" s="3"/>
    </row>
    <row r="132" ht="15.75" customHeight="1">
      <c r="H132" s="3"/>
    </row>
    <row r="133" ht="15.75" customHeight="1">
      <c r="H133" s="3"/>
    </row>
    <row r="134" ht="15.75" customHeight="1">
      <c r="H134" s="3"/>
    </row>
    <row r="135" ht="15.75" customHeight="1">
      <c r="H135" s="3"/>
    </row>
    <row r="136" ht="15.75" customHeight="1">
      <c r="H136" s="3"/>
    </row>
    <row r="137" ht="15.75" customHeight="1">
      <c r="H137" s="3"/>
    </row>
    <row r="138" ht="15.75" customHeight="1">
      <c r="H138" s="3"/>
    </row>
    <row r="139" ht="15.75" customHeight="1">
      <c r="H139" s="3"/>
    </row>
    <row r="140" ht="15.75" customHeight="1">
      <c r="H140" s="3"/>
    </row>
    <row r="141" ht="15.75" customHeight="1">
      <c r="H141" s="3"/>
    </row>
    <row r="142" ht="15.75" customHeight="1">
      <c r="H142" s="3"/>
    </row>
    <row r="143" ht="15.75" customHeight="1">
      <c r="H143" s="3"/>
    </row>
    <row r="144" ht="15.75" customHeight="1">
      <c r="H144" s="3"/>
    </row>
    <row r="145" ht="15.75" customHeight="1">
      <c r="H145" s="3"/>
    </row>
    <row r="146" ht="15.75" customHeight="1">
      <c r="H146" s="3"/>
    </row>
    <row r="147" ht="15.75" customHeight="1">
      <c r="H147" s="3"/>
    </row>
    <row r="148" ht="15.75" customHeight="1">
      <c r="H148" s="3"/>
    </row>
    <row r="149" ht="15.75" customHeight="1">
      <c r="H149" s="3"/>
    </row>
    <row r="150" ht="15.75" customHeight="1">
      <c r="H150" s="3"/>
    </row>
    <row r="151" ht="15.75" customHeight="1">
      <c r="H151" s="3"/>
    </row>
    <row r="152" ht="15.75" customHeight="1">
      <c r="H152" s="3"/>
    </row>
    <row r="153" ht="15.75" customHeight="1">
      <c r="H153" s="3"/>
    </row>
    <row r="154" ht="15.75" customHeight="1">
      <c r="H154" s="3"/>
    </row>
    <row r="155" ht="15.75" customHeight="1">
      <c r="H155" s="3"/>
    </row>
    <row r="156" ht="15.75" customHeight="1">
      <c r="H156" s="3"/>
    </row>
    <row r="157" ht="15.75" customHeight="1">
      <c r="H157" s="3"/>
    </row>
    <row r="158" ht="15.75" customHeight="1">
      <c r="H158" s="3"/>
    </row>
    <row r="159" ht="15.75" customHeight="1">
      <c r="H159" s="3"/>
    </row>
    <row r="160" ht="15.75" customHeight="1">
      <c r="H160" s="3"/>
    </row>
    <row r="161" ht="15.75" customHeight="1">
      <c r="H161" s="3"/>
    </row>
    <row r="162" ht="15.75" customHeight="1">
      <c r="H162" s="3"/>
    </row>
    <row r="163" ht="15.75" customHeight="1">
      <c r="H163" s="3"/>
    </row>
    <row r="164" ht="15.75" customHeight="1">
      <c r="H164" s="3"/>
    </row>
    <row r="165" ht="15.75" customHeight="1">
      <c r="H165" s="3"/>
    </row>
    <row r="166" ht="15.75" customHeight="1">
      <c r="H166" s="3"/>
    </row>
    <row r="167" ht="15.75" customHeight="1">
      <c r="H167" s="3"/>
    </row>
    <row r="168" ht="15.75" customHeight="1">
      <c r="H168" s="3"/>
    </row>
    <row r="169" ht="15.75" customHeight="1">
      <c r="H169" s="3"/>
    </row>
    <row r="170" ht="15.75" customHeight="1">
      <c r="H170" s="3"/>
    </row>
    <row r="171" ht="15.75" customHeight="1">
      <c r="H171" s="3"/>
    </row>
    <row r="172" ht="15.75" customHeight="1">
      <c r="H172" s="3"/>
    </row>
    <row r="173" ht="15.75" customHeight="1">
      <c r="H173" s="3"/>
    </row>
    <row r="174" ht="15.75" customHeight="1">
      <c r="H174" s="3"/>
    </row>
    <row r="175" ht="15.75" customHeight="1">
      <c r="H175" s="3"/>
    </row>
    <row r="176" ht="15.75" customHeight="1">
      <c r="H176" s="3"/>
    </row>
    <row r="177" ht="15.75" customHeight="1">
      <c r="H177" s="3"/>
    </row>
    <row r="178" ht="15.75" customHeight="1">
      <c r="H178" s="3"/>
    </row>
    <row r="179" ht="15.75" customHeight="1">
      <c r="H179" s="3"/>
    </row>
    <row r="180" ht="15.75" customHeight="1">
      <c r="H180" s="3"/>
    </row>
    <row r="181" ht="15.75" customHeight="1">
      <c r="H181" s="3"/>
    </row>
    <row r="182" ht="15.75" customHeight="1">
      <c r="H182" s="3"/>
    </row>
    <row r="183" ht="15.75" customHeight="1">
      <c r="H183" s="3"/>
    </row>
    <row r="184" ht="15.75" customHeight="1">
      <c r="H184" s="3"/>
    </row>
    <row r="185" ht="15.75" customHeight="1">
      <c r="H185" s="3"/>
    </row>
    <row r="186" ht="15.75" customHeight="1">
      <c r="H186" s="3"/>
    </row>
    <row r="187" ht="15.75" customHeight="1">
      <c r="H187" s="3"/>
    </row>
    <row r="188" ht="15.75" customHeight="1">
      <c r="H188" s="3"/>
    </row>
    <row r="189" ht="15.75" customHeight="1">
      <c r="H189" s="3"/>
    </row>
    <row r="190" ht="15.75" customHeight="1">
      <c r="H190" s="3"/>
    </row>
    <row r="191" ht="15.75" customHeight="1">
      <c r="H191" s="3"/>
    </row>
    <row r="192" ht="15.75" customHeight="1">
      <c r="H192" s="3"/>
    </row>
    <row r="193" ht="15.75" customHeight="1">
      <c r="H193" s="3"/>
    </row>
    <row r="194" ht="15.75" customHeight="1">
      <c r="H194" s="3"/>
    </row>
    <row r="195" ht="15.75" customHeight="1">
      <c r="H195" s="3"/>
    </row>
    <row r="196" ht="15.75" customHeight="1">
      <c r="H196" s="3"/>
    </row>
    <row r="197" ht="15.75" customHeight="1">
      <c r="H197" s="3"/>
    </row>
    <row r="198" ht="15.75" customHeight="1">
      <c r="H198" s="3"/>
    </row>
    <row r="199" ht="15.75" customHeight="1">
      <c r="H199" s="3"/>
    </row>
    <row r="200" ht="15.75" customHeight="1">
      <c r="H200" s="3"/>
    </row>
    <row r="201" ht="15.75" customHeight="1">
      <c r="H201" s="3"/>
    </row>
    <row r="202" ht="15.75" customHeight="1">
      <c r="H202" s="3"/>
    </row>
    <row r="203" ht="15.75" customHeight="1">
      <c r="H203" s="3"/>
    </row>
    <row r="204" ht="15.75" customHeight="1">
      <c r="H204" s="3"/>
    </row>
    <row r="205" ht="15.75" customHeight="1">
      <c r="H205" s="3"/>
    </row>
    <row r="206" ht="15.75" customHeight="1">
      <c r="H206" s="3"/>
    </row>
    <row r="207" ht="15.75" customHeight="1">
      <c r="H207" s="3"/>
    </row>
    <row r="208" ht="15.75" customHeight="1">
      <c r="H208" s="3"/>
    </row>
    <row r="209" ht="15.75" customHeight="1">
      <c r="H209" s="3"/>
    </row>
    <row r="210" ht="15.75" customHeight="1">
      <c r="H210" s="3"/>
    </row>
    <row r="211" ht="15.75" customHeight="1">
      <c r="H211" s="3"/>
    </row>
    <row r="212" ht="15.75" customHeight="1">
      <c r="H212" s="3"/>
    </row>
    <row r="213" ht="15.75" customHeight="1">
      <c r="H213" s="3"/>
    </row>
    <row r="214" ht="15.75" customHeight="1">
      <c r="H214" s="3"/>
    </row>
    <row r="215" ht="15.75" customHeight="1">
      <c r="H215" s="3"/>
    </row>
    <row r="216" ht="15.75" customHeight="1">
      <c r="H216" s="3"/>
    </row>
    <row r="217" ht="15.75" customHeight="1">
      <c r="H217" s="3"/>
    </row>
    <row r="218" ht="15.75" customHeight="1">
      <c r="H218" s="3"/>
    </row>
    <row r="219" ht="15.75" customHeight="1">
      <c r="H219" s="3"/>
    </row>
    <row r="220" ht="15.75" customHeight="1">
      <c r="H220" s="3"/>
    </row>
    <row r="221" ht="15.75" customHeight="1">
      <c r="H221" s="3"/>
    </row>
    <row r="222" ht="15.75" customHeight="1">
      <c r="H222" s="3"/>
    </row>
    <row r="223" ht="15.75" customHeight="1">
      <c r="H223" s="3"/>
    </row>
    <row r="224" ht="15.75" customHeight="1">
      <c r="H224" s="3"/>
    </row>
    <row r="225" ht="15.75" customHeight="1">
      <c r="H225" s="3"/>
    </row>
    <row r="226" ht="15.75" customHeight="1">
      <c r="H226" s="3"/>
    </row>
    <row r="227" ht="15.75" customHeight="1">
      <c r="H227" s="3"/>
    </row>
    <row r="228" ht="15.75" customHeight="1">
      <c r="H228" s="3"/>
    </row>
    <row r="229" ht="15.75" customHeight="1">
      <c r="H229" s="3"/>
    </row>
    <row r="230" ht="15.75" customHeight="1">
      <c r="H230" s="3"/>
    </row>
    <row r="231" ht="15.75" customHeight="1">
      <c r="H231" s="3"/>
    </row>
    <row r="232" ht="15.75" customHeight="1">
      <c r="H232" s="3"/>
    </row>
    <row r="233" ht="15.75" customHeight="1">
      <c r="H233" s="3"/>
    </row>
    <row r="234" ht="15.75" customHeight="1">
      <c r="H234" s="3"/>
    </row>
    <row r="235" ht="15.75" customHeight="1">
      <c r="H235" s="3"/>
    </row>
    <row r="236" ht="15.75" customHeight="1">
      <c r="H236" s="3"/>
    </row>
    <row r="237" ht="15.75" customHeight="1">
      <c r="H237" s="3"/>
    </row>
    <row r="238" ht="15.75" customHeight="1">
      <c r="H238" s="3"/>
    </row>
    <row r="239" ht="15.75" customHeight="1">
      <c r="H239" s="3"/>
    </row>
    <row r="240" ht="15.75" customHeight="1">
      <c r="H240" s="3"/>
    </row>
    <row r="241" ht="15.75" customHeight="1">
      <c r="H241" s="3"/>
    </row>
    <row r="242" ht="15.75" customHeight="1">
      <c r="H242" s="3"/>
    </row>
    <row r="243" ht="15.75" customHeight="1">
      <c r="H243" s="3"/>
    </row>
    <row r="244" ht="15.75" customHeight="1">
      <c r="H244" s="3"/>
    </row>
    <row r="245" ht="15.75" customHeight="1">
      <c r="H245" s="3"/>
    </row>
    <row r="246" ht="15.75" customHeight="1">
      <c r="H246" s="3"/>
    </row>
    <row r="247" ht="15.75" customHeight="1">
      <c r="H247" s="3"/>
    </row>
    <row r="248" ht="15.75" customHeight="1">
      <c r="H248" s="3"/>
    </row>
    <row r="249" ht="15.75" customHeight="1">
      <c r="H249" s="3"/>
    </row>
    <row r="250" ht="15.75" customHeight="1">
      <c r="H250" s="3"/>
    </row>
    <row r="251" ht="15.75" customHeight="1">
      <c r="H251" s="3"/>
    </row>
    <row r="252" ht="15.75" customHeight="1">
      <c r="H252" s="3"/>
    </row>
    <row r="253" ht="15.75" customHeight="1">
      <c r="H253" s="3"/>
    </row>
    <row r="254" ht="15.75" customHeight="1">
      <c r="H254" s="3"/>
    </row>
    <row r="255" ht="15.75" customHeight="1">
      <c r="H255" s="3"/>
    </row>
    <row r="256" ht="15.75" customHeight="1">
      <c r="H256" s="3"/>
    </row>
    <row r="257" ht="15.75" customHeight="1">
      <c r="H257" s="3"/>
    </row>
    <row r="258" ht="15.75" customHeight="1">
      <c r="H258" s="3"/>
    </row>
    <row r="259" ht="15.75" customHeight="1">
      <c r="H259" s="3"/>
    </row>
    <row r="260" ht="15.75" customHeight="1">
      <c r="H260" s="3"/>
    </row>
    <row r="261" ht="15.75" customHeight="1">
      <c r="H261" s="3"/>
    </row>
    <row r="262" ht="15.75" customHeight="1">
      <c r="H262" s="3"/>
    </row>
    <row r="263" ht="15.75" customHeight="1">
      <c r="H263" s="3"/>
    </row>
    <row r="264" ht="15.75" customHeight="1">
      <c r="H264" s="3"/>
    </row>
    <row r="265" ht="15.75" customHeight="1">
      <c r="H265" s="3"/>
    </row>
    <row r="266" ht="15.75" customHeight="1">
      <c r="H266" s="3"/>
    </row>
    <row r="267" ht="15.75" customHeight="1">
      <c r="H267" s="3"/>
    </row>
    <row r="268" ht="15.75" customHeight="1">
      <c r="H268" s="3"/>
    </row>
    <row r="269" ht="15.75" customHeight="1">
      <c r="H269" s="3"/>
    </row>
    <row r="270" ht="15.75" customHeight="1">
      <c r="H270" s="3"/>
    </row>
    <row r="271" ht="15.75" customHeight="1">
      <c r="H271" s="3"/>
    </row>
    <row r="272" ht="15.75" customHeight="1">
      <c r="H272" s="3"/>
    </row>
    <row r="273" ht="15.75" customHeight="1">
      <c r="H273" s="3"/>
    </row>
    <row r="274" ht="15.75" customHeight="1">
      <c r="H274" s="3"/>
    </row>
    <row r="275" ht="15.75" customHeight="1">
      <c r="H275" s="3"/>
    </row>
    <row r="276" ht="15.75" customHeight="1">
      <c r="H276" s="3"/>
    </row>
    <row r="277" ht="15.75" customHeight="1">
      <c r="H277" s="3"/>
    </row>
    <row r="278" ht="15.75" customHeight="1">
      <c r="H278" s="3"/>
    </row>
    <row r="279" ht="15.75" customHeight="1">
      <c r="H279" s="3"/>
    </row>
    <row r="280" ht="15.75" customHeight="1">
      <c r="H280" s="3"/>
    </row>
    <row r="281" ht="15.75" customHeight="1">
      <c r="H281" s="3"/>
    </row>
    <row r="282" ht="15.75" customHeight="1">
      <c r="H282" s="3"/>
    </row>
    <row r="283" ht="15.75" customHeight="1">
      <c r="H283" s="3"/>
    </row>
    <row r="284" ht="15.75" customHeight="1">
      <c r="H284" s="3"/>
    </row>
    <row r="285" ht="15.75" customHeight="1">
      <c r="H285" s="3"/>
    </row>
    <row r="286" ht="15.75" customHeight="1">
      <c r="H286" s="3"/>
    </row>
    <row r="287" ht="15.75" customHeight="1">
      <c r="H287" s="3"/>
    </row>
    <row r="288" ht="15.75" customHeight="1">
      <c r="H288" s="3"/>
    </row>
    <row r="289" ht="15.75" customHeight="1">
      <c r="H289" s="3"/>
    </row>
    <row r="290" ht="15.75" customHeight="1">
      <c r="H290" s="3"/>
    </row>
    <row r="291" ht="15.75" customHeight="1">
      <c r="H291" s="3"/>
    </row>
    <row r="292" ht="15.75" customHeight="1">
      <c r="H292" s="3"/>
    </row>
    <row r="293" ht="15.75" customHeight="1">
      <c r="H293" s="3"/>
    </row>
    <row r="294" ht="15.75" customHeight="1">
      <c r="H294" s="3"/>
    </row>
    <row r="295" ht="15.75" customHeight="1">
      <c r="H295" s="3"/>
    </row>
    <row r="296" ht="15.75" customHeight="1">
      <c r="H296" s="3"/>
    </row>
    <row r="297" ht="15.75" customHeight="1">
      <c r="H297" s="3"/>
    </row>
    <row r="298" ht="15.75" customHeight="1">
      <c r="H298" s="3"/>
    </row>
    <row r="299" ht="15.75" customHeight="1">
      <c r="H299" s="3"/>
    </row>
    <row r="300" ht="15.75" customHeight="1">
      <c r="H300" s="3"/>
    </row>
    <row r="301" ht="15.75" customHeight="1">
      <c r="H301" s="3"/>
    </row>
    <row r="302" ht="15.75" customHeight="1">
      <c r="H302" s="3"/>
    </row>
    <row r="303" ht="15.75" customHeight="1">
      <c r="H303" s="3"/>
    </row>
    <row r="304" ht="15.75" customHeight="1">
      <c r="H304" s="3"/>
    </row>
    <row r="305" ht="15.75" customHeight="1">
      <c r="H305" s="3"/>
    </row>
    <row r="306" ht="15.75" customHeight="1">
      <c r="H306" s="3"/>
    </row>
    <row r="307" ht="15.75" customHeight="1">
      <c r="H307" s="3"/>
    </row>
    <row r="308" ht="15.75" customHeight="1">
      <c r="H308" s="3"/>
    </row>
    <row r="309" ht="15.75" customHeight="1">
      <c r="H309" s="3"/>
    </row>
    <row r="310" ht="15.75" customHeight="1">
      <c r="H310" s="3"/>
    </row>
    <row r="311" ht="15.75" customHeight="1">
      <c r="H311" s="3"/>
    </row>
    <row r="312" ht="15.75" customHeight="1">
      <c r="H312" s="3"/>
    </row>
    <row r="313" ht="15.75" customHeight="1">
      <c r="H313" s="3"/>
    </row>
    <row r="314" ht="15.75" customHeight="1">
      <c r="H314" s="3"/>
    </row>
    <row r="315" ht="15.75" customHeight="1">
      <c r="H315" s="3"/>
    </row>
    <row r="316" ht="15.75" customHeight="1">
      <c r="H316" s="3"/>
    </row>
    <row r="317" ht="15.75" customHeight="1">
      <c r="H317" s="3"/>
    </row>
    <row r="318" ht="15.75" customHeight="1">
      <c r="H318" s="3"/>
    </row>
    <row r="319" ht="15.75" customHeight="1">
      <c r="H319" s="3"/>
    </row>
    <row r="320" ht="15.75" customHeight="1">
      <c r="H320" s="3"/>
    </row>
    <row r="321" ht="15.75" customHeight="1">
      <c r="H321" s="3"/>
    </row>
    <row r="322" ht="15.75" customHeight="1">
      <c r="H322" s="3"/>
    </row>
    <row r="323" ht="15.75" customHeight="1">
      <c r="H323" s="3"/>
    </row>
    <row r="324" ht="15.75" customHeight="1">
      <c r="H324" s="3"/>
    </row>
    <row r="325" ht="15.75" customHeight="1">
      <c r="H325" s="3"/>
    </row>
    <row r="326" ht="15.75" customHeight="1">
      <c r="H326" s="3"/>
    </row>
    <row r="327" ht="15.75" customHeight="1">
      <c r="H327" s="3"/>
    </row>
    <row r="328" ht="15.75" customHeight="1">
      <c r="H328" s="3"/>
    </row>
    <row r="329" ht="15.75" customHeight="1">
      <c r="H329" s="3"/>
    </row>
    <row r="330" ht="15.75" customHeight="1">
      <c r="H330" s="3"/>
    </row>
    <row r="331" ht="15.75" customHeight="1">
      <c r="H331" s="3"/>
    </row>
    <row r="332" ht="15.75" customHeight="1">
      <c r="H332" s="3"/>
    </row>
    <row r="333" ht="15.75" customHeight="1">
      <c r="H333" s="3"/>
    </row>
    <row r="334" ht="15.75" customHeight="1">
      <c r="H334" s="3"/>
    </row>
    <row r="335" ht="15.75" customHeight="1">
      <c r="H335" s="3"/>
    </row>
    <row r="336" ht="15.75" customHeight="1">
      <c r="H336" s="3"/>
    </row>
    <row r="337" ht="15.75" customHeight="1">
      <c r="H337" s="3"/>
    </row>
    <row r="338" ht="15.75" customHeight="1">
      <c r="H338" s="3"/>
    </row>
    <row r="339" ht="15.75" customHeight="1">
      <c r="H339" s="3"/>
    </row>
    <row r="340" ht="15.75" customHeight="1">
      <c r="H340" s="3"/>
    </row>
    <row r="341" ht="15.75" customHeight="1">
      <c r="H341" s="3"/>
    </row>
    <row r="342" ht="15.75" customHeight="1">
      <c r="H342" s="3"/>
    </row>
    <row r="343" ht="15.75" customHeight="1">
      <c r="H343" s="3"/>
    </row>
    <row r="344" ht="15.75" customHeight="1">
      <c r="H344" s="3"/>
    </row>
    <row r="345" ht="15.75" customHeight="1">
      <c r="H345" s="3"/>
    </row>
    <row r="346" ht="15.75" customHeight="1">
      <c r="H346" s="3"/>
    </row>
    <row r="347" ht="15.75" customHeight="1">
      <c r="H347" s="3"/>
    </row>
    <row r="348" ht="15.75" customHeight="1">
      <c r="H348" s="3"/>
    </row>
    <row r="349" ht="15.75" customHeight="1">
      <c r="H349" s="3"/>
    </row>
    <row r="350" ht="15.75" customHeight="1">
      <c r="H350" s="3"/>
    </row>
    <row r="351" ht="15.75" customHeight="1">
      <c r="H351" s="3"/>
    </row>
    <row r="352" ht="15.75" customHeight="1">
      <c r="H352" s="3"/>
    </row>
    <row r="353" ht="15.75" customHeight="1">
      <c r="H353" s="3"/>
    </row>
    <row r="354" ht="15.75" customHeight="1">
      <c r="H354" s="3"/>
    </row>
    <row r="355" ht="15.75" customHeight="1">
      <c r="H355" s="3"/>
    </row>
    <row r="356" ht="15.75" customHeight="1">
      <c r="H356" s="3"/>
    </row>
    <row r="357" ht="15.75" customHeight="1">
      <c r="H357" s="3"/>
    </row>
    <row r="358" ht="15.75" customHeight="1">
      <c r="H358" s="3"/>
    </row>
    <row r="359" ht="15.75" customHeight="1">
      <c r="H359" s="3"/>
    </row>
    <row r="360" ht="15.75" customHeight="1">
      <c r="H360" s="3"/>
    </row>
    <row r="361" ht="15.75" customHeight="1">
      <c r="H361" s="3"/>
    </row>
    <row r="362" ht="15.75" customHeight="1">
      <c r="H362" s="3"/>
    </row>
    <row r="363" ht="15.75" customHeight="1">
      <c r="H363" s="3"/>
    </row>
    <row r="364" ht="15.75" customHeight="1">
      <c r="H364" s="3"/>
    </row>
    <row r="365" ht="15.75" customHeight="1">
      <c r="H365" s="3"/>
    </row>
    <row r="366" ht="15.75" customHeight="1">
      <c r="H366" s="3"/>
    </row>
    <row r="367" ht="15.75" customHeight="1">
      <c r="H367" s="3"/>
    </row>
    <row r="368" ht="15.75" customHeight="1">
      <c r="H368" s="3"/>
    </row>
    <row r="369" ht="15.75" customHeight="1">
      <c r="H369" s="3"/>
    </row>
    <row r="370" ht="15.75" customHeight="1">
      <c r="H370" s="3"/>
    </row>
    <row r="371" ht="15.75" customHeight="1">
      <c r="H371" s="3"/>
    </row>
    <row r="372" ht="15.75" customHeight="1">
      <c r="H372" s="3"/>
    </row>
    <row r="373" ht="15.75" customHeight="1">
      <c r="H373" s="3"/>
    </row>
    <row r="374" ht="15.75" customHeight="1">
      <c r="H374" s="3"/>
    </row>
    <row r="375" ht="15.75" customHeight="1">
      <c r="H375" s="3"/>
    </row>
    <row r="376" ht="15.75" customHeight="1">
      <c r="H376" s="3"/>
    </row>
    <row r="377" ht="15.75" customHeight="1">
      <c r="H377" s="3"/>
    </row>
    <row r="378" ht="15.75" customHeight="1">
      <c r="H378" s="3"/>
    </row>
    <row r="379" ht="15.75" customHeight="1">
      <c r="H379" s="3"/>
    </row>
    <row r="380" ht="15.75" customHeight="1">
      <c r="H380" s="3"/>
    </row>
    <row r="381" ht="15.75" customHeight="1">
      <c r="H381" s="3"/>
    </row>
    <row r="382" ht="15.75" customHeight="1">
      <c r="H382" s="3"/>
    </row>
    <row r="383" ht="15.75" customHeight="1">
      <c r="H383" s="3"/>
    </row>
    <row r="384" ht="15.75" customHeight="1">
      <c r="H384" s="3"/>
    </row>
    <row r="385" ht="15.75" customHeight="1">
      <c r="H385" s="3"/>
    </row>
    <row r="386" ht="15.75" customHeight="1">
      <c r="H386" s="3"/>
    </row>
    <row r="387" ht="15.75" customHeight="1">
      <c r="H387" s="3"/>
    </row>
    <row r="388" ht="15.75" customHeight="1">
      <c r="H388" s="3"/>
    </row>
    <row r="389" ht="15.75" customHeight="1">
      <c r="H389" s="3"/>
    </row>
    <row r="390" ht="15.75" customHeight="1">
      <c r="H390" s="3"/>
    </row>
    <row r="391" ht="15.75" customHeight="1">
      <c r="H391" s="3"/>
    </row>
    <row r="392" ht="15.75" customHeight="1">
      <c r="H392" s="3"/>
    </row>
    <row r="393" ht="15.75" customHeight="1">
      <c r="H393" s="3"/>
    </row>
    <row r="394" ht="15.75" customHeight="1">
      <c r="H394" s="3"/>
    </row>
    <row r="395" ht="15.75" customHeight="1">
      <c r="H395" s="3"/>
    </row>
    <row r="396" ht="15.75" customHeight="1">
      <c r="H396" s="3"/>
    </row>
    <row r="397" ht="15.75" customHeight="1">
      <c r="H397" s="3"/>
    </row>
    <row r="398" ht="15.75" customHeight="1">
      <c r="H398" s="3"/>
    </row>
    <row r="399" ht="15.75" customHeight="1">
      <c r="H399" s="3"/>
    </row>
    <row r="400" ht="15.75" customHeight="1">
      <c r="H400" s="3"/>
    </row>
    <row r="401" ht="15.75" customHeight="1">
      <c r="H401" s="3"/>
    </row>
    <row r="402" ht="15.75" customHeight="1">
      <c r="H402" s="3"/>
    </row>
    <row r="403" ht="15.75" customHeight="1">
      <c r="H403" s="3"/>
    </row>
    <row r="404" ht="15.75" customHeight="1">
      <c r="H404" s="3"/>
    </row>
    <row r="405" ht="15.75" customHeight="1">
      <c r="H405" s="3"/>
    </row>
    <row r="406" ht="15.75" customHeight="1">
      <c r="H406" s="3"/>
    </row>
    <row r="407" ht="15.75" customHeight="1">
      <c r="H407" s="3"/>
    </row>
    <row r="408" ht="15.75" customHeight="1">
      <c r="H408" s="3"/>
    </row>
    <row r="409" ht="15.75" customHeight="1">
      <c r="H409" s="3"/>
    </row>
    <row r="410" ht="15.75" customHeight="1">
      <c r="H410" s="3"/>
    </row>
    <row r="411" ht="15.75" customHeight="1">
      <c r="H411" s="3"/>
    </row>
    <row r="412" ht="15.75" customHeight="1">
      <c r="H412" s="3"/>
    </row>
    <row r="413" ht="15.75" customHeight="1">
      <c r="H413" s="3"/>
    </row>
    <row r="414" ht="15.75" customHeight="1">
      <c r="H414" s="3"/>
    </row>
    <row r="415" ht="15.75" customHeight="1">
      <c r="H415" s="3"/>
    </row>
    <row r="416" ht="15.75" customHeight="1">
      <c r="H416" s="3"/>
    </row>
    <row r="417" ht="15.75" customHeight="1">
      <c r="H417" s="3"/>
    </row>
    <row r="418" ht="15.75" customHeight="1">
      <c r="H418" s="3"/>
    </row>
    <row r="419" ht="15.75" customHeight="1">
      <c r="H419" s="3"/>
    </row>
    <row r="420" ht="15.75" customHeight="1">
      <c r="H420" s="3"/>
    </row>
    <row r="421" ht="15.75" customHeight="1">
      <c r="H421" s="3"/>
    </row>
    <row r="422" ht="15.75" customHeight="1">
      <c r="H422" s="3"/>
    </row>
    <row r="423" ht="15.75" customHeight="1">
      <c r="H423" s="3"/>
    </row>
    <row r="424" ht="15.75" customHeight="1">
      <c r="H424" s="3"/>
    </row>
    <row r="425" ht="15.75" customHeight="1">
      <c r="H425" s="3"/>
    </row>
    <row r="426" ht="15.75" customHeight="1">
      <c r="H426" s="3"/>
    </row>
    <row r="427" ht="15.75" customHeight="1">
      <c r="H427" s="3"/>
    </row>
    <row r="428" ht="15.75" customHeight="1">
      <c r="H428" s="3"/>
    </row>
    <row r="429" ht="15.75" customHeight="1">
      <c r="H429" s="3"/>
    </row>
    <row r="430" ht="15.75" customHeight="1">
      <c r="H430" s="3"/>
    </row>
    <row r="431" ht="15.75" customHeight="1">
      <c r="H431" s="3"/>
    </row>
    <row r="432" ht="15.75" customHeight="1">
      <c r="H432" s="3"/>
    </row>
    <row r="433" ht="15.75" customHeight="1">
      <c r="H433" s="3"/>
    </row>
    <row r="434" ht="15.75" customHeight="1">
      <c r="H434" s="3"/>
    </row>
    <row r="435" ht="15.75" customHeight="1">
      <c r="H435" s="3"/>
    </row>
    <row r="436" ht="15.75" customHeight="1">
      <c r="H436" s="3"/>
    </row>
    <row r="437" ht="15.75" customHeight="1">
      <c r="H437" s="3"/>
    </row>
    <row r="438" ht="15.75" customHeight="1">
      <c r="H438" s="3"/>
    </row>
    <row r="439" ht="15.75" customHeight="1">
      <c r="H439" s="3"/>
    </row>
    <row r="440" ht="15.75" customHeight="1">
      <c r="H440" s="3"/>
    </row>
    <row r="441" ht="15.75" customHeight="1">
      <c r="H441" s="3"/>
    </row>
    <row r="442" ht="15.75" customHeight="1">
      <c r="H442" s="3"/>
    </row>
    <row r="443" ht="15.75" customHeight="1">
      <c r="H443" s="3"/>
    </row>
    <row r="444" ht="15.75" customHeight="1">
      <c r="H444" s="3"/>
    </row>
    <row r="445" ht="15.75" customHeight="1">
      <c r="H445" s="3"/>
    </row>
    <row r="446" ht="15.75" customHeight="1">
      <c r="H446" s="3"/>
    </row>
    <row r="447" ht="15.75" customHeight="1">
      <c r="H447" s="3"/>
    </row>
    <row r="448" ht="15.75" customHeight="1">
      <c r="H448" s="3"/>
    </row>
    <row r="449" ht="15.75" customHeight="1">
      <c r="H449" s="3"/>
    </row>
    <row r="450" ht="15.75" customHeight="1">
      <c r="H450" s="3"/>
    </row>
    <row r="451" ht="15.75" customHeight="1">
      <c r="H451" s="3"/>
    </row>
    <row r="452" ht="15.75" customHeight="1">
      <c r="H452" s="3"/>
    </row>
    <row r="453" ht="15.75" customHeight="1">
      <c r="H453" s="3"/>
    </row>
    <row r="454" ht="15.75" customHeight="1">
      <c r="H454" s="3"/>
    </row>
    <row r="455" ht="15.75" customHeight="1">
      <c r="H455" s="3"/>
    </row>
    <row r="456" ht="15.75" customHeight="1">
      <c r="H456" s="3"/>
    </row>
    <row r="457" ht="15.75" customHeight="1">
      <c r="H457" s="3"/>
    </row>
    <row r="458" ht="15.75" customHeight="1">
      <c r="H458" s="3"/>
    </row>
    <row r="459" ht="15.75" customHeight="1">
      <c r="H459" s="3"/>
    </row>
    <row r="460" ht="15.75" customHeight="1">
      <c r="H460" s="3"/>
    </row>
    <row r="461" ht="15.75" customHeight="1">
      <c r="H461" s="3"/>
    </row>
    <row r="462" ht="15.75" customHeight="1">
      <c r="H462" s="3"/>
    </row>
    <row r="463" ht="15.75" customHeight="1">
      <c r="H463" s="3"/>
    </row>
    <row r="464" ht="15.75" customHeight="1">
      <c r="H464" s="3"/>
    </row>
    <row r="465" ht="15.75" customHeight="1">
      <c r="H465" s="3"/>
    </row>
    <row r="466" ht="15.75" customHeight="1">
      <c r="H466" s="3"/>
    </row>
    <row r="467" ht="15.75" customHeight="1">
      <c r="H467" s="3"/>
    </row>
    <row r="468" ht="15.75" customHeight="1">
      <c r="H468" s="3"/>
    </row>
    <row r="469" ht="15.75" customHeight="1">
      <c r="H469" s="3"/>
    </row>
    <row r="470" ht="15.75" customHeight="1">
      <c r="H470" s="3"/>
    </row>
    <row r="471" ht="15.75" customHeight="1">
      <c r="H471" s="3"/>
    </row>
    <row r="472" ht="15.75" customHeight="1">
      <c r="H472" s="3"/>
    </row>
    <row r="473" ht="15.75" customHeight="1">
      <c r="H473" s="3"/>
    </row>
    <row r="474" ht="15.75" customHeight="1">
      <c r="H474" s="3"/>
    </row>
    <row r="475" ht="15.75" customHeight="1">
      <c r="H475" s="3"/>
    </row>
    <row r="476" ht="15.75" customHeight="1">
      <c r="H476" s="3"/>
    </row>
    <row r="477" ht="15.75" customHeight="1">
      <c r="H477" s="3"/>
    </row>
    <row r="478" ht="15.75" customHeight="1">
      <c r="H478" s="3"/>
    </row>
    <row r="479" ht="15.75" customHeight="1">
      <c r="H479" s="3"/>
    </row>
    <row r="480" ht="15.75" customHeight="1">
      <c r="H480" s="3"/>
    </row>
    <row r="481" ht="15.75" customHeight="1">
      <c r="H481" s="3"/>
    </row>
    <row r="482" ht="15.75" customHeight="1">
      <c r="H482" s="3"/>
    </row>
    <row r="483" ht="15.75" customHeight="1">
      <c r="H483" s="3"/>
    </row>
    <row r="484" ht="15.75" customHeight="1">
      <c r="H484" s="3"/>
    </row>
    <row r="485" ht="15.75" customHeight="1">
      <c r="H485" s="3"/>
    </row>
    <row r="486" ht="15.75" customHeight="1">
      <c r="H486" s="3"/>
    </row>
    <row r="487" ht="15.75" customHeight="1">
      <c r="H487" s="3"/>
    </row>
    <row r="488" ht="15.75" customHeight="1">
      <c r="H488" s="3"/>
    </row>
    <row r="489" ht="15.75" customHeight="1">
      <c r="H489" s="3"/>
    </row>
    <row r="490" ht="15.75" customHeight="1">
      <c r="H490" s="3"/>
    </row>
    <row r="491" ht="15.75" customHeight="1">
      <c r="H491" s="3"/>
    </row>
    <row r="492" ht="15.75" customHeight="1">
      <c r="H492" s="3"/>
    </row>
    <row r="493" ht="15.75" customHeight="1">
      <c r="H493" s="3"/>
    </row>
    <row r="494" ht="15.75" customHeight="1">
      <c r="H494" s="3"/>
    </row>
    <row r="495" ht="15.75" customHeight="1">
      <c r="H495" s="3"/>
    </row>
    <row r="496" ht="15.75" customHeight="1">
      <c r="H496" s="3"/>
    </row>
    <row r="497" ht="15.75" customHeight="1">
      <c r="H497" s="3"/>
    </row>
    <row r="498" ht="15.75" customHeight="1">
      <c r="H498" s="3"/>
    </row>
    <row r="499" ht="15.75" customHeight="1">
      <c r="H499" s="3"/>
    </row>
    <row r="500" ht="15.75" customHeight="1">
      <c r="H500" s="3"/>
    </row>
    <row r="501" ht="15.75" customHeight="1">
      <c r="H501" s="3"/>
    </row>
    <row r="502" ht="15.75" customHeight="1">
      <c r="H502" s="3"/>
    </row>
    <row r="503" ht="15.75" customHeight="1">
      <c r="H503" s="3"/>
    </row>
    <row r="504" ht="15.75" customHeight="1">
      <c r="H504" s="3"/>
    </row>
    <row r="505" ht="15.75" customHeight="1">
      <c r="H505" s="3"/>
    </row>
    <row r="506" ht="15.75" customHeight="1">
      <c r="H506" s="3"/>
    </row>
    <row r="507" ht="15.75" customHeight="1">
      <c r="H507" s="3"/>
    </row>
    <row r="508" ht="15.75" customHeight="1">
      <c r="H508" s="3"/>
    </row>
    <row r="509" ht="15.75" customHeight="1">
      <c r="H509" s="3"/>
    </row>
    <row r="510" ht="15.75" customHeight="1">
      <c r="H510" s="3"/>
    </row>
    <row r="511" ht="15.75" customHeight="1">
      <c r="H511" s="3"/>
    </row>
    <row r="512" ht="15.75" customHeight="1">
      <c r="H512" s="3"/>
    </row>
    <row r="513" ht="15.75" customHeight="1">
      <c r="H513" s="3"/>
    </row>
    <row r="514" ht="15.75" customHeight="1">
      <c r="H514" s="3"/>
    </row>
    <row r="515" ht="15.75" customHeight="1">
      <c r="H515" s="3"/>
    </row>
    <row r="516" ht="15.75" customHeight="1">
      <c r="H516" s="3"/>
    </row>
    <row r="517" ht="15.75" customHeight="1">
      <c r="H517" s="3"/>
    </row>
    <row r="518" ht="15.75" customHeight="1">
      <c r="H518" s="3"/>
    </row>
    <row r="519" ht="15.75" customHeight="1">
      <c r="H519" s="3"/>
    </row>
    <row r="520" ht="15.75" customHeight="1">
      <c r="H520" s="3"/>
    </row>
    <row r="521" ht="15.75" customHeight="1">
      <c r="H521" s="3"/>
    </row>
    <row r="522" ht="15.75" customHeight="1">
      <c r="H522" s="3"/>
    </row>
    <row r="523" ht="15.75" customHeight="1">
      <c r="H523" s="3"/>
    </row>
    <row r="524" ht="15.75" customHeight="1">
      <c r="H524" s="3"/>
    </row>
    <row r="525" ht="15.75" customHeight="1">
      <c r="H525" s="3"/>
    </row>
    <row r="526" ht="15.75" customHeight="1">
      <c r="H526" s="3"/>
    </row>
    <row r="527" ht="15.75" customHeight="1">
      <c r="H527" s="3"/>
    </row>
    <row r="528" ht="15.75" customHeight="1">
      <c r="H528" s="3"/>
    </row>
    <row r="529" ht="15.75" customHeight="1">
      <c r="H529" s="3"/>
    </row>
    <row r="530" ht="15.75" customHeight="1">
      <c r="H530" s="3"/>
    </row>
    <row r="531" ht="15.75" customHeight="1">
      <c r="H531" s="3"/>
    </row>
    <row r="532" ht="15.75" customHeight="1">
      <c r="H532" s="3"/>
    </row>
    <row r="533" ht="15.75" customHeight="1">
      <c r="H533" s="3"/>
    </row>
    <row r="534" ht="15.75" customHeight="1">
      <c r="H534" s="3"/>
    </row>
    <row r="535" ht="15.75" customHeight="1">
      <c r="H535" s="3"/>
    </row>
    <row r="536" ht="15.75" customHeight="1">
      <c r="H536" s="3"/>
    </row>
    <row r="537" ht="15.75" customHeight="1">
      <c r="H537" s="3"/>
    </row>
    <row r="538" ht="15.75" customHeight="1">
      <c r="H538" s="3"/>
    </row>
    <row r="539" ht="15.75" customHeight="1">
      <c r="H539" s="3"/>
    </row>
    <row r="540" ht="15.75" customHeight="1">
      <c r="H540" s="3"/>
    </row>
    <row r="541" ht="15.75" customHeight="1">
      <c r="H541" s="3"/>
    </row>
    <row r="542" ht="15.75" customHeight="1">
      <c r="H542" s="3"/>
    </row>
    <row r="543" ht="15.75" customHeight="1">
      <c r="H543" s="3"/>
    </row>
    <row r="544" ht="15.75" customHeight="1">
      <c r="H544" s="3"/>
    </row>
    <row r="545" ht="15.75" customHeight="1">
      <c r="H545" s="3"/>
    </row>
    <row r="546" ht="15.75" customHeight="1">
      <c r="H546" s="3"/>
    </row>
    <row r="547" ht="15.75" customHeight="1">
      <c r="H547" s="3"/>
    </row>
    <row r="548" ht="15.75" customHeight="1">
      <c r="H548" s="3"/>
    </row>
    <row r="549" ht="15.75" customHeight="1">
      <c r="H549" s="3"/>
    </row>
    <row r="550" ht="15.75" customHeight="1">
      <c r="H550" s="3"/>
    </row>
    <row r="551" ht="15.75" customHeight="1">
      <c r="H551" s="3"/>
    </row>
    <row r="552" ht="15.75" customHeight="1">
      <c r="H552" s="3"/>
    </row>
    <row r="553" ht="15.75" customHeight="1">
      <c r="H553" s="3"/>
    </row>
    <row r="554" ht="15.75" customHeight="1">
      <c r="H554" s="3"/>
    </row>
    <row r="555" ht="15.75" customHeight="1">
      <c r="H555" s="3"/>
    </row>
    <row r="556" ht="15.75" customHeight="1">
      <c r="H556" s="3"/>
    </row>
    <row r="557" ht="15.75" customHeight="1">
      <c r="H557" s="3"/>
    </row>
    <row r="558" ht="15.75" customHeight="1">
      <c r="H558" s="3"/>
    </row>
    <row r="559" ht="15.75" customHeight="1">
      <c r="H559" s="3"/>
    </row>
    <row r="560" ht="15.75" customHeight="1">
      <c r="H560" s="3"/>
    </row>
    <row r="561" ht="15.75" customHeight="1">
      <c r="H561" s="3"/>
    </row>
    <row r="562" ht="15.75" customHeight="1">
      <c r="H562" s="3"/>
    </row>
    <row r="563" ht="15.75" customHeight="1">
      <c r="H563" s="3"/>
    </row>
    <row r="564" ht="15.75" customHeight="1">
      <c r="H564" s="3"/>
    </row>
    <row r="565" ht="15.75" customHeight="1">
      <c r="H565" s="3"/>
    </row>
    <row r="566" ht="15.75" customHeight="1">
      <c r="H566" s="3"/>
    </row>
    <row r="567" ht="15.75" customHeight="1">
      <c r="H567" s="3"/>
    </row>
    <row r="568" ht="15.75" customHeight="1">
      <c r="H568" s="3"/>
    </row>
    <row r="569" ht="15.75" customHeight="1">
      <c r="H569" s="3"/>
    </row>
    <row r="570" ht="15.75" customHeight="1">
      <c r="H570" s="3"/>
    </row>
    <row r="571" ht="15.75" customHeight="1">
      <c r="H571" s="3"/>
    </row>
    <row r="572" ht="15.75" customHeight="1">
      <c r="H572" s="3"/>
    </row>
    <row r="573" ht="15.75" customHeight="1">
      <c r="H573" s="3"/>
    </row>
    <row r="574" ht="15.75" customHeight="1">
      <c r="H574" s="3"/>
    </row>
    <row r="575" ht="15.75" customHeight="1">
      <c r="H575" s="3"/>
    </row>
    <row r="576" ht="15.75" customHeight="1">
      <c r="H576" s="3"/>
    </row>
    <row r="577" ht="15.75" customHeight="1">
      <c r="H577" s="3"/>
    </row>
    <row r="578" ht="15.75" customHeight="1">
      <c r="H578" s="3"/>
    </row>
    <row r="579" ht="15.75" customHeight="1">
      <c r="H579" s="3"/>
    </row>
    <row r="580" ht="15.75" customHeight="1">
      <c r="H580" s="3"/>
    </row>
    <row r="581" ht="15.75" customHeight="1">
      <c r="H581" s="3"/>
    </row>
    <row r="582" ht="15.75" customHeight="1">
      <c r="H582" s="3"/>
    </row>
    <row r="583" ht="15.75" customHeight="1">
      <c r="H583" s="3"/>
    </row>
    <row r="584" ht="15.75" customHeight="1">
      <c r="H584" s="3"/>
    </row>
    <row r="585" ht="15.75" customHeight="1">
      <c r="H585" s="3"/>
    </row>
    <row r="586" ht="15.75" customHeight="1">
      <c r="H586" s="3"/>
    </row>
    <row r="587" ht="15.75" customHeight="1">
      <c r="H587" s="3"/>
    </row>
    <row r="588" ht="15.75" customHeight="1">
      <c r="H588" s="3"/>
    </row>
    <row r="589" ht="15.75" customHeight="1">
      <c r="H589" s="3"/>
    </row>
    <row r="590" ht="15.75" customHeight="1">
      <c r="H590" s="3"/>
    </row>
    <row r="591" ht="15.75" customHeight="1">
      <c r="H591" s="3"/>
    </row>
    <row r="592" ht="15.75" customHeight="1">
      <c r="H592" s="3"/>
    </row>
    <row r="593" ht="15.75" customHeight="1">
      <c r="H593" s="3"/>
    </row>
    <row r="594" ht="15.75" customHeight="1">
      <c r="H594" s="3"/>
    </row>
    <row r="595" ht="15.75" customHeight="1">
      <c r="H595" s="3"/>
    </row>
    <row r="596" ht="15.75" customHeight="1">
      <c r="H596" s="3"/>
    </row>
    <row r="597" ht="15.75" customHeight="1">
      <c r="H597" s="3"/>
    </row>
    <row r="598" ht="15.75" customHeight="1">
      <c r="H598" s="3"/>
    </row>
    <row r="599" ht="15.75" customHeight="1">
      <c r="H599" s="3"/>
    </row>
    <row r="600" ht="15.75" customHeight="1">
      <c r="H600" s="3"/>
    </row>
    <row r="601" ht="15.75" customHeight="1">
      <c r="H601" s="3"/>
    </row>
    <row r="602" ht="15.75" customHeight="1">
      <c r="H602" s="3"/>
    </row>
    <row r="603" ht="15.75" customHeight="1">
      <c r="H603" s="3"/>
    </row>
    <row r="604" ht="15.75" customHeight="1">
      <c r="H604" s="3"/>
    </row>
    <row r="605" ht="15.75" customHeight="1">
      <c r="H605" s="3"/>
    </row>
    <row r="606" ht="15.75" customHeight="1">
      <c r="H606" s="3"/>
    </row>
    <row r="607" ht="15.75" customHeight="1">
      <c r="H607" s="3"/>
    </row>
    <row r="608" ht="15.75" customHeight="1">
      <c r="H608" s="3"/>
    </row>
    <row r="609" ht="15.75" customHeight="1">
      <c r="H609" s="3"/>
    </row>
    <row r="610" ht="15.75" customHeight="1">
      <c r="H610" s="3"/>
    </row>
    <row r="611" ht="15.75" customHeight="1">
      <c r="H611" s="3"/>
    </row>
    <row r="612" ht="15.75" customHeight="1">
      <c r="H612" s="3"/>
    </row>
    <row r="613" ht="15.75" customHeight="1">
      <c r="H613" s="3"/>
    </row>
    <row r="614" ht="15.75" customHeight="1">
      <c r="H614" s="3"/>
    </row>
    <row r="615" ht="15.75" customHeight="1">
      <c r="H615" s="3"/>
    </row>
    <row r="616" ht="15.75" customHeight="1">
      <c r="H616" s="3"/>
    </row>
    <row r="617" ht="15.75" customHeight="1">
      <c r="H617" s="3"/>
    </row>
    <row r="618" ht="15.75" customHeight="1">
      <c r="H618" s="3"/>
    </row>
    <row r="619" ht="15.75" customHeight="1">
      <c r="H619" s="3"/>
    </row>
    <row r="620" ht="15.75" customHeight="1">
      <c r="H620" s="3"/>
    </row>
    <row r="621" ht="15.75" customHeight="1">
      <c r="H621" s="3"/>
    </row>
    <row r="622" ht="15.75" customHeight="1">
      <c r="H622" s="3"/>
    </row>
    <row r="623" ht="15.75" customHeight="1">
      <c r="H623" s="3"/>
    </row>
    <row r="624" ht="15.75" customHeight="1">
      <c r="H624" s="3"/>
    </row>
    <row r="625" ht="15.75" customHeight="1">
      <c r="H625" s="3"/>
    </row>
    <row r="626" ht="15.75" customHeight="1">
      <c r="H626" s="3"/>
    </row>
    <row r="627" ht="15.75" customHeight="1">
      <c r="H627" s="3"/>
    </row>
    <row r="628" ht="15.75" customHeight="1">
      <c r="H628" s="3"/>
    </row>
    <row r="629" ht="15.75" customHeight="1">
      <c r="H629" s="3"/>
    </row>
    <row r="630" ht="15.75" customHeight="1">
      <c r="H630" s="3"/>
    </row>
    <row r="631" ht="15.75" customHeight="1">
      <c r="H631" s="3"/>
    </row>
    <row r="632" ht="15.75" customHeight="1">
      <c r="H632" s="3"/>
    </row>
    <row r="633" ht="15.75" customHeight="1">
      <c r="H633" s="3"/>
    </row>
    <row r="634" ht="15.75" customHeight="1">
      <c r="H634" s="3"/>
    </row>
    <row r="635" ht="15.75" customHeight="1">
      <c r="H635" s="3"/>
    </row>
    <row r="636" ht="15.75" customHeight="1">
      <c r="H636" s="3"/>
    </row>
    <row r="637" ht="15.75" customHeight="1">
      <c r="H637" s="3"/>
    </row>
    <row r="638" ht="15.75" customHeight="1">
      <c r="H638" s="3"/>
    </row>
    <row r="639" ht="15.75" customHeight="1">
      <c r="H639" s="3"/>
    </row>
    <row r="640" ht="15.75" customHeight="1">
      <c r="H640" s="3"/>
    </row>
    <row r="641" ht="15.75" customHeight="1">
      <c r="H641" s="3"/>
    </row>
    <row r="642" ht="15.75" customHeight="1">
      <c r="H642" s="3"/>
    </row>
    <row r="643" ht="15.75" customHeight="1">
      <c r="H643" s="3"/>
    </row>
    <row r="644" ht="15.75" customHeight="1">
      <c r="H644" s="3"/>
    </row>
    <row r="645" ht="15.75" customHeight="1">
      <c r="H645" s="3"/>
    </row>
    <row r="646" ht="15.75" customHeight="1">
      <c r="H646" s="3"/>
    </row>
    <row r="647" ht="15.75" customHeight="1">
      <c r="H647" s="3"/>
    </row>
    <row r="648" ht="15.75" customHeight="1">
      <c r="H648" s="3"/>
    </row>
    <row r="649" ht="15.75" customHeight="1">
      <c r="H649" s="3"/>
    </row>
    <row r="650" ht="15.75" customHeight="1">
      <c r="H650" s="3"/>
    </row>
    <row r="651" ht="15.75" customHeight="1">
      <c r="H651" s="3"/>
    </row>
    <row r="652" ht="15.75" customHeight="1">
      <c r="H652" s="3"/>
    </row>
    <row r="653" ht="15.75" customHeight="1">
      <c r="H653" s="3"/>
    </row>
    <row r="654" ht="15.75" customHeight="1">
      <c r="H654" s="3"/>
    </row>
    <row r="655" ht="15.75" customHeight="1">
      <c r="H655" s="3"/>
    </row>
    <row r="656" ht="15.75" customHeight="1">
      <c r="H656" s="3"/>
    </row>
    <row r="657" ht="15.75" customHeight="1">
      <c r="H657" s="3"/>
    </row>
    <row r="658" ht="15.75" customHeight="1">
      <c r="H658" s="3"/>
    </row>
    <row r="659" ht="15.75" customHeight="1">
      <c r="H659" s="3"/>
    </row>
    <row r="660" ht="15.75" customHeight="1">
      <c r="H660" s="3"/>
    </row>
    <row r="661" ht="15.75" customHeight="1">
      <c r="H661" s="3"/>
    </row>
    <row r="662" ht="15.75" customHeight="1">
      <c r="H662" s="3"/>
    </row>
    <row r="663" ht="15.75" customHeight="1">
      <c r="H663" s="3"/>
    </row>
    <row r="664" ht="15.75" customHeight="1">
      <c r="H664" s="3"/>
    </row>
    <row r="665" ht="15.75" customHeight="1">
      <c r="H665" s="3"/>
    </row>
    <row r="666" ht="15.75" customHeight="1">
      <c r="H666" s="3"/>
    </row>
    <row r="667" ht="15.75" customHeight="1">
      <c r="H667" s="3"/>
    </row>
    <row r="668" ht="15.75" customHeight="1">
      <c r="H668" s="3"/>
    </row>
    <row r="669" ht="15.75" customHeight="1">
      <c r="H669" s="3"/>
    </row>
    <row r="670" ht="15.75" customHeight="1">
      <c r="H670" s="3"/>
    </row>
    <row r="671" ht="15.75" customHeight="1">
      <c r="H671" s="3"/>
    </row>
    <row r="672" ht="15.75" customHeight="1">
      <c r="H672" s="3"/>
    </row>
    <row r="673" ht="15.75" customHeight="1">
      <c r="H673" s="3"/>
    </row>
    <row r="674" ht="15.75" customHeight="1">
      <c r="H674" s="3"/>
    </row>
    <row r="675" ht="15.75" customHeight="1">
      <c r="H675" s="3"/>
    </row>
    <row r="676" ht="15.75" customHeight="1">
      <c r="H676" s="3"/>
    </row>
    <row r="677" ht="15.75" customHeight="1">
      <c r="H677" s="3"/>
    </row>
    <row r="678" ht="15.75" customHeight="1">
      <c r="H678" s="3"/>
    </row>
    <row r="679" ht="15.75" customHeight="1">
      <c r="H679" s="3"/>
    </row>
    <row r="680" ht="15.75" customHeight="1">
      <c r="H680" s="3"/>
    </row>
    <row r="681" ht="15.75" customHeight="1">
      <c r="H681" s="3"/>
    </row>
    <row r="682" ht="15.75" customHeight="1">
      <c r="H682" s="3"/>
    </row>
    <row r="683" ht="15.75" customHeight="1">
      <c r="H683" s="3"/>
    </row>
    <row r="684" ht="15.75" customHeight="1">
      <c r="H684" s="3"/>
    </row>
    <row r="685" ht="15.75" customHeight="1">
      <c r="H685" s="3"/>
    </row>
    <row r="686" ht="15.75" customHeight="1">
      <c r="H686" s="3"/>
    </row>
    <row r="687" ht="15.75" customHeight="1">
      <c r="H687" s="3"/>
    </row>
    <row r="688" ht="15.75" customHeight="1">
      <c r="H688" s="3"/>
    </row>
    <row r="689" ht="15.75" customHeight="1">
      <c r="H689" s="3"/>
    </row>
    <row r="690" ht="15.75" customHeight="1">
      <c r="H690" s="3"/>
    </row>
    <row r="691" ht="15.75" customHeight="1">
      <c r="H691" s="3"/>
    </row>
    <row r="692" ht="15.75" customHeight="1">
      <c r="H692" s="3"/>
    </row>
    <row r="693" ht="15.75" customHeight="1">
      <c r="H693" s="3"/>
    </row>
    <row r="694" ht="15.75" customHeight="1">
      <c r="H694" s="3"/>
    </row>
    <row r="695" ht="15.75" customHeight="1">
      <c r="H695" s="3"/>
    </row>
    <row r="696" ht="15.75" customHeight="1">
      <c r="H696" s="3"/>
    </row>
    <row r="697" ht="15.75" customHeight="1">
      <c r="H697" s="3"/>
    </row>
    <row r="698" ht="15.75" customHeight="1">
      <c r="H698" s="3"/>
    </row>
    <row r="699" ht="15.75" customHeight="1">
      <c r="H699" s="3"/>
    </row>
    <row r="700" ht="15.75" customHeight="1">
      <c r="H700" s="3"/>
    </row>
    <row r="701" ht="15.75" customHeight="1">
      <c r="H701" s="3"/>
    </row>
    <row r="702" ht="15.75" customHeight="1">
      <c r="H702" s="3"/>
    </row>
    <row r="703" ht="15.75" customHeight="1">
      <c r="H703" s="3"/>
    </row>
    <row r="704" ht="15.75" customHeight="1">
      <c r="H704" s="3"/>
    </row>
    <row r="705" ht="15.75" customHeight="1">
      <c r="H705" s="3"/>
    </row>
    <row r="706" ht="15.75" customHeight="1">
      <c r="H706" s="3"/>
    </row>
    <row r="707" ht="15.75" customHeight="1">
      <c r="H707" s="3"/>
    </row>
    <row r="708" ht="15.75" customHeight="1">
      <c r="H708" s="3"/>
    </row>
    <row r="709" ht="15.75" customHeight="1">
      <c r="H709" s="3"/>
    </row>
    <row r="710" ht="15.75" customHeight="1">
      <c r="H710" s="3"/>
    </row>
    <row r="711" ht="15.75" customHeight="1">
      <c r="H711" s="3"/>
    </row>
    <row r="712" ht="15.75" customHeight="1">
      <c r="H712" s="3"/>
    </row>
    <row r="713" ht="15.75" customHeight="1">
      <c r="H713" s="3"/>
    </row>
    <row r="714" ht="15.75" customHeight="1">
      <c r="H714" s="3"/>
    </row>
    <row r="715" ht="15.75" customHeight="1">
      <c r="H715" s="3"/>
    </row>
    <row r="716" ht="15.75" customHeight="1">
      <c r="H716" s="3"/>
    </row>
    <row r="717" ht="15.75" customHeight="1">
      <c r="H717" s="3"/>
    </row>
    <row r="718" ht="15.75" customHeight="1">
      <c r="H718" s="3"/>
    </row>
    <row r="719" ht="15.75" customHeight="1">
      <c r="H719" s="3"/>
    </row>
    <row r="720" ht="15.75" customHeight="1">
      <c r="H720" s="3"/>
    </row>
    <row r="721" ht="15.75" customHeight="1">
      <c r="H721" s="3"/>
    </row>
    <row r="722" ht="15.75" customHeight="1">
      <c r="H722" s="3"/>
    </row>
    <row r="723" ht="15.75" customHeight="1">
      <c r="H723" s="3"/>
    </row>
    <row r="724" ht="15.75" customHeight="1">
      <c r="H724" s="3"/>
    </row>
    <row r="725" ht="15.75" customHeight="1">
      <c r="H725" s="3"/>
    </row>
    <row r="726" ht="15.75" customHeight="1">
      <c r="H726" s="3"/>
    </row>
    <row r="727" ht="15.75" customHeight="1">
      <c r="H727" s="3"/>
    </row>
    <row r="728" ht="15.75" customHeight="1">
      <c r="H728" s="3"/>
    </row>
    <row r="729" ht="15.75" customHeight="1">
      <c r="H729" s="3"/>
    </row>
    <row r="730" ht="15.75" customHeight="1">
      <c r="H730" s="3"/>
    </row>
    <row r="731" ht="15.75" customHeight="1">
      <c r="H731" s="3"/>
    </row>
    <row r="732" ht="15.75" customHeight="1">
      <c r="H732" s="3"/>
    </row>
    <row r="733" ht="15.75" customHeight="1">
      <c r="H733" s="3"/>
    </row>
    <row r="734" ht="15.75" customHeight="1">
      <c r="H734" s="3"/>
    </row>
    <row r="735" ht="15.75" customHeight="1">
      <c r="H735" s="3"/>
    </row>
    <row r="736" ht="15.75" customHeight="1">
      <c r="H736" s="3"/>
    </row>
    <row r="737" ht="15.75" customHeight="1">
      <c r="H737" s="3"/>
    </row>
    <row r="738" ht="15.75" customHeight="1">
      <c r="H738" s="3"/>
    </row>
    <row r="739" ht="15.75" customHeight="1">
      <c r="H739" s="3"/>
    </row>
    <row r="740" ht="15.75" customHeight="1">
      <c r="H740" s="3"/>
    </row>
    <row r="741" ht="15.75" customHeight="1">
      <c r="H741" s="3"/>
    </row>
    <row r="742" ht="15.75" customHeight="1">
      <c r="H742" s="3"/>
    </row>
    <row r="743" ht="15.75" customHeight="1">
      <c r="H743" s="3"/>
    </row>
    <row r="744" ht="15.75" customHeight="1">
      <c r="H744" s="3"/>
    </row>
    <row r="745" ht="15.75" customHeight="1">
      <c r="H745" s="3"/>
    </row>
    <row r="746" ht="15.75" customHeight="1">
      <c r="H746" s="3"/>
    </row>
    <row r="747" ht="15.75" customHeight="1">
      <c r="H747" s="3"/>
    </row>
    <row r="748" ht="15.75" customHeight="1">
      <c r="H748" s="3"/>
    </row>
    <row r="749" ht="15.75" customHeight="1">
      <c r="H749" s="3"/>
    </row>
    <row r="750" ht="15.75" customHeight="1">
      <c r="H750" s="3"/>
    </row>
    <row r="751" ht="15.75" customHeight="1">
      <c r="H751" s="3"/>
    </row>
    <row r="752" ht="15.75" customHeight="1">
      <c r="H752" s="3"/>
    </row>
    <row r="753" ht="15.75" customHeight="1">
      <c r="H753" s="3"/>
    </row>
    <row r="754" ht="15.75" customHeight="1">
      <c r="H754" s="3"/>
    </row>
    <row r="755" ht="15.75" customHeight="1">
      <c r="H755" s="3"/>
    </row>
    <row r="756" ht="15.75" customHeight="1">
      <c r="H756" s="3"/>
    </row>
    <row r="757" ht="15.75" customHeight="1">
      <c r="H757" s="3"/>
    </row>
    <row r="758" ht="15.75" customHeight="1">
      <c r="H758" s="3"/>
    </row>
    <row r="759" ht="15.75" customHeight="1">
      <c r="H759" s="3"/>
    </row>
    <row r="760" ht="15.75" customHeight="1">
      <c r="H760" s="3"/>
    </row>
    <row r="761" ht="15.75" customHeight="1">
      <c r="H761" s="3"/>
    </row>
    <row r="762" ht="15.75" customHeight="1">
      <c r="H762" s="3"/>
    </row>
    <row r="763" ht="15.75" customHeight="1">
      <c r="H763" s="3"/>
    </row>
    <row r="764" ht="15.75" customHeight="1">
      <c r="H764" s="3"/>
    </row>
    <row r="765" ht="15.75" customHeight="1">
      <c r="H765" s="3"/>
    </row>
    <row r="766" ht="15.75" customHeight="1">
      <c r="H766" s="3"/>
    </row>
    <row r="767" ht="15.75" customHeight="1">
      <c r="H767" s="3"/>
    </row>
    <row r="768" ht="15.75" customHeight="1">
      <c r="H768" s="3"/>
    </row>
    <row r="769" ht="15.75" customHeight="1">
      <c r="H769" s="3"/>
    </row>
    <row r="770" ht="15.75" customHeight="1">
      <c r="H770" s="3"/>
    </row>
    <row r="771" ht="15.75" customHeight="1">
      <c r="H771" s="3"/>
    </row>
    <row r="772" ht="15.75" customHeight="1">
      <c r="H772" s="3"/>
    </row>
    <row r="773" ht="15.75" customHeight="1">
      <c r="H773" s="3"/>
    </row>
    <row r="774" ht="15.75" customHeight="1">
      <c r="H774" s="3"/>
    </row>
    <row r="775" ht="15.75" customHeight="1">
      <c r="H775" s="3"/>
    </row>
    <row r="776" ht="15.75" customHeight="1">
      <c r="H776" s="3"/>
    </row>
    <row r="777" ht="15.75" customHeight="1">
      <c r="H777" s="3"/>
    </row>
    <row r="778" ht="15.75" customHeight="1">
      <c r="H778" s="3"/>
    </row>
    <row r="779" ht="15.75" customHeight="1">
      <c r="H779" s="3"/>
    </row>
    <row r="780" ht="15.75" customHeight="1">
      <c r="H780" s="3"/>
    </row>
    <row r="781" ht="15.75" customHeight="1">
      <c r="H781" s="3"/>
    </row>
    <row r="782" ht="15.75" customHeight="1">
      <c r="H782" s="3"/>
    </row>
    <row r="783" ht="15.75" customHeight="1">
      <c r="H783" s="3"/>
    </row>
    <row r="784" ht="15.75" customHeight="1">
      <c r="H784" s="3"/>
    </row>
    <row r="785" ht="15.75" customHeight="1">
      <c r="H785" s="3"/>
    </row>
    <row r="786" ht="15.75" customHeight="1">
      <c r="H786" s="3"/>
    </row>
    <row r="787" ht="15.75" customHeight="1">
      <c r="H787" s="3"/>
    </row>
    <row r="788" ht="15.75" customHeight="1">
      <c r="H788" s="3"/>
    </row>
    <row r="789" ht="15.75" customHeight="1">
      <c r="H789" s="3"/>
    </row>
    <row r="790" ht="15.75" customHeight="1">
      <c r="H790" s="3"/>
    </row>
    <row r="791" ht="15.75" customHeight="1">
      <c r="H791" s="3"/>
    </row>
    <row r="792" ht="15.75" customHeight="1">
      <c r="H792" s="3"/>
    </row>
    <row r="793" ht="15.75" customHeight="1">
      <c r="H793" s="3"/>
    </row>
    <row r="794" ht="15.75" customHeight="1">
      <c r="H794" s="3"/>
    </row>
    <row r="795" ht="15.75" customHeight="1">
      <c r="H795" s="3"/>
    </row>
    <row r="796" ht="15.75" customHeight="1">
      <c r="H796" s="3"/>
    </row>
    <row r="797" ht="15.75" customHeight="1">
      <c r="H797" s="3"/>
    </row>
    <row r="798" ht="15.75" customHeight="1">
      <c r="H798" s="3"/>
    </row>
    <row r="799" ht="15.75" customHeight="1">
      <c r="H799" s="3"/>
    </row>
    <row r="800" ht="15.75" customHeight="1">
      <c r="H800" s="3"/>
    </row>
    <row r="801" ht="15.75" customHeight="1">
      <c r="H801" s="3"/>
    </row>
    <row r="802" ht="15.75" customHeight="1">
      <c r="H802" s="3"/>
    </row>
    <row r="803" ht="15.75" customHeight="1">
      <c r="H803" s="3"/>
    </row>
    <row r="804" ht="15.75" customHeight="1">
      <c r="H804" s="3"/>
    </row>
    <row r="805" ht="15.75" customHeight="1">
      <c r="H805" s="3"/>
    </row>
    <row r="806" ht="15.75" customHeight="1">
      <c r="H806" s="3"/>
    </row>
    <row r="807" ht="15.75" customHeight="1">
      <c r="H807" s="3"/>
    </row>
    <row r="808" ht="15.75" customHeight="1">
      <c r="H808" s="3"/>
    </row>
    <row r="809" ht="15.75" customHeight="1">
      <c r="H809" s="3"/>
    </row>
    <row r="810" ht="15.75" customHeight="1">
      <c r="H810" s="3"/>
    </row>
    <row r="811" ht="15.75" customHeight="1">
      <c r="H811" s="3"/>
    </row>
    <row r="812" ht="15.75" customHeight="1">
      <c r="H812" s="3"/>
    </row>
    <row r="813" ht="15.75" customHeight="1">
      <c r="H813" s="3"/>
    </row>
    <row r="814" ht="15.75" customHeight="1">
      <c r="H814" s="3"/>
    </row>
    <row r="815" ht="15.75" customHeight="1">
      <c r="H815" s="3"/>
    </row>
    <row r="816" ht="15.75" customHeight="1">
      <c r="H816" s="3"/>
    </row>
    <row r="817" ht="15.75" customHeight="1">
      <c r="H817" s="3"/>
    </row>
    <row r="818" ht="15.75" customHeight="1">
      <c r="H818" s="3"/>
    </row>
    <row r="819" ht="15.75" customHeight="1">
      <c r="H819" s="3"/>
    </row>
    <row r="820" ht="15.75" customHeight="1">
      <c r="H820" s="3"/>
    </row>
    <row r="821" ht="15.75" customHeight="1">
      <c r="H821" s="3"/>
    </row>
    <row r="822" ht="15.75" customHeight="1">
      <c r="H822" s="3"/>
    </row>
    <row r="823" ht="15.75" customHeight="1">
      <c r="H823" s="3"/>
    </row>
    <row r="824" ht="15.75" customHeight="1">
      <c r="H824" s="3"/>
    </row>
    <row r="825" ht="15.75" customHeight="1">
      <c r="H825" s="3"/>
    </row>
    <row r="826" ht="15.75" customHeight="1">
      <c r="H826" s="3"/>
    </row>
    <row r="827" ht="15.75" customHeight="1">
      <c r="H827" s="3"/>
    </row>
    <row r="828" ht="15.75" customHeight="1">
      <c r="H828" s="3"/>
    </row>
    <row r="829" ht="15.75" customHeight="1">
      <c r="H829" s="3"/>
    </row>
    <row r="830" ht="15.75" customHeight="1">
      <c r="H830" s="3"/>
    </row>
    <row r="831" ht="15.75" customHeight="1">
      <c r="H831" s="3"/>
    </row>
    <row r="832" ht="15.75" customHeight="1">
      <c r="H832" s="3"/>
    </row>
    <row r="833" ht="15.75" customHeight="1">
      <c r="H833" s="3"/>
    </row>
    <row r="834" ht="15.75" customHeight="1">
      <c r="H834" s="3"/>
    </row>
    <row r="835" ht="15.75" customHeight="1">
      <c r="H835" s="3"/>
    </row>
    <row r="836" ht="15.75" customHeight="1">
      <c r="H836" s="3"/>
    </row>
    <row r="837" ht="15.75" customHeight="1">
      <c r="H837" s="3"/>
    </row>
    <row r="838" ht="15.75" customHeight="1">
      <c r="H838" s="3"/>
    </row>
    <row r="839" ht="15.75" customHeight="1">
      <c r="H839" s="3"/>
    </row>
    <row r="840" ht="15.75" customHeight="1">
      <c r="H840" s="3"/>
    </row>
    <row r="841" ht="15.75" customHeight="1">
      <c r="H841" s="3"/>
    </row>
    <row r="842" ht="15.75" customHeight="1">
      <c r="H842" s="3"/>
    </row>
    <row r="843" ht="15.75" customHeight="1">
      <c r="H843" s="3"/>
    </row>
    <row r="844" ht="15.75" customHeight="1">
      <c r="H844" s="3"/>
    </row>
    <row r="845" ht="15.75" customHeight="1">
      <c r="H845" s="3"/>
    </row>
    <row r="846" ht="15.75" customHeight="1">
      <c r="H846" s="3"/>
    </row>
    <row r="847" ht="15.75" customHeight="1">
      <c r="H847" s="3"/>
    </row>
    <row r="848" ht="15.75" customHeight="1">
      <c r="H848" s="3"/>
    </row>
    <row r="849" ht="15.75" customHeight="1">
      <c r="H849" s="3"/>
    </row>
    <row r="850" ht="15.75" customHeight="1">
      <c r="H850" s="3"/>
    </row>
    <row r="851" ht="15.75" customHeight="1">
      <c r="H851" s="3"/>
    </row>
    <row r="852" ht="15.75" customHeight="1">
      <c r="H852" s="3"/>
    </row>
    <row r="853" ht="15.75" customHeight="1">
      <c r="H853" s="3"/>
    </row>
    <row r="854" ht="15.75" customHeight="1">
      <c r="H854" s="3"/>
    </row>
    <row r="855" ht="15.75" customHeight="1">
      <c r="H855" s="3"/>
    </row>
    <row r="856" ht="15.75" customHeight="1">
      <c r="H856" s="3"/>
    </row>
    <row r="857" ht="15.75" customHeight="1">
      <c r="H857" s="3"/>
    </row>
    <row r="858" ht="15.75" customHeight="1">
      <c r="H858" s="3"/>
    </row>
    <row r="859" ht="15.75" customHeight="1">
      <c r="H859" s="3"/>
    </row>
    <row r="860" ht="15.75" customHeight="1">
      <c r="H860" s="3"/>
    </row>
    <row r="861" ht="15.75" customHeight="1">
      <c r="H861" s="3"/>
    </row>
    <row r="862" ht="15.75" customHeight="1">
      <c r="H862" s="3"/>
    </row>
    <row r="863" ht="15.75" customHeight="1">
      <c r="H863" s="3"/>
    </row>
    <row r="864" ht="15.75" customHeight="1">
      <c r="H864" s="3"/>
    </row>
    <row r="865" ht="15.75" customHeight="1">
      <c r="H865" s="3"/>
    </row>
    <row r="866" ht="15.75" customHeight="1">
      <c r="H866" s="3"/>
    </row>
    <row r="867" ht="15.75" customHeight="1">
      <c r="H867" s="3"/>
    </row>
    <row r="868" ht="15.75" customHeight="1">
      <c r="H868" s="3"/>
    </row>
    <row r="869" ht="15.75" customHeight="1">
      <c r="H869" s="3"/>
    </row>
    <row r="870" ht="15.75" customHeight="1">
      <c r="H870" s="3"/>
    </row>
    <row r="871" ht="15.75" customHeight="1">
      <c r="H871" s="3"/>
    </row>
    <row r="872" ht="15.75" customHeight="1">
      <c r="H872" s="3"/>
    </row>
    <row r="873" ht="15.75" customHeight="1">
      <c r="H873" s="3"/>
    </row>
    <row r="874" ht="15.75" customHeight="1">
      <c r="H874" s="3"/>
    </row>
    <row r="875" ht="15.75" customHeight="1">
      <c r="H875" s="3"/>
    </row>
    <row r="876" ht="15.75" customHeight="1">
      <c r="H876" s="3"/>
    </row>
    <row r="877" ht="15.75" customHeight="1">
      <c r="H877" s="3"/>
    </row>
    <row r="878" ht="15.75" customHeight="1">
      <c r="H878" s="3"/>
    </row>
    <row r="879" ht="15.75" customHeight="1">
      <c r="H879" s="3"/>
    </row>
    <row r="880" ht="15.75" customHeight="1">
      <c r="H880" s="3"/>
    </row>
    <row r="881" ht="15.75" customHeight="1">
      <c r="H881" s="3"/>
    </row>
    <row r="882" ht="15.75" customHeight="1">
      <c r="H882" s="3"/>
    </row>
    <row r="883" ht="15.75" customHeight="1">
      <c r="H883" s="3"/>
    </row>
    <row r="884" ht="15.75" customHeight="1">
      <c r="H884" s="3"/>
    </row>
    <row r="885" ht="15.75" customHeight="1">
      <c r="H885" s="3"/>
    </row>
    <row r="886" ht="15.75" customHeight="1">
      <c r="H886" s="3"/>
    </row>
    <row r="887" ht="15.75" customHeight="1">
      <c r="H887" s="3"/>
    </row>
    <row r="888" ht="15.75" customHeight="1">
      <c r="H888" s="3"/>
    </row>
    <row r="889" ht="15.75" customHeight="1">
      <c r="H889" s="3"/>
    </row>
    <row r="890" ht="15.75" customHeight="1">
      <c r="H890" s="3"/>
    </row>
    <row r="891" ht="15.75" customHeight="1">
      <c r="H891" s="3"/>
    </row>
    <row r="892" ht="15.75" customHeight="1">
      <c r="H892" s="3"/>
    </row>
    <row r="893" ht="15.75" customHeight="1">
      <c r="H893" s="3"/>
    </row>
    <row r="894" ht="15.75" customHeight="1">
      <c r="H894" s="3"/>
    </row>
    <row r="895" ht="15.75" customHeight="1">
      <c r="H895" s="3"/>
    </row>
    <row r="896" ht="15.75" customHeight="1">
      <c r="H896" s="3"/>
    </row>
    <row r="897" ht="15.75" customHeight="1">
      <c r="H897" s="3"/>
    </row>
    <row r="898" ht="15.75" customHeight="1">
      <c r="H898" s="3"/>
    </row>
    <row r="899" ht="15.75" customHeight="1">
      <c r="H899" s="3"/>
    </row>
    <row r="900" ht="15.75" customHeight="1">
      <c r="H900" s="3"/>
    </row>
    <row r="901" ht="15.75" customHeight="1">
      <c r="H901" s="3"/>
    </row>
    <row r="902" ht="15.75" customHeight="1">
      <c r="H902" s="3"/>
    </row>
    <row r="903" ht="15.75" customHeight="1">
      <c r="H903" s="3"/>
    </row>
    <row r="904" ht="15.75" customHeight="1">
      <c r="H904" s="3"/>
    </row>
    <row r="905" ht="15.75" customHeight="1">
      <c r="H905" s="3"/>
    </row>
    <row r="906" ht="15.75" customHeight="1">
      <c r="H906" s="3"/>
    </row>
    <row r="907" ht="15.75" customHeight="1">
      <c r="H907" s="3"/>
    </row>
    <row r="908" ht="15.75" customHeight="1">
      <c r="H908" s="3"/>
    </row>
    <row r="909" ht="15.75" customHeight="1">
      <c r="H909" s="3"/>
    </row>
    <row r="910" ht="15.75" customHeight="1">
      <c r="H910" s="3"/>
    </row>
    <row r="911" ht="15.75" customHeight="1">
      <c r="H911" s="3"/>
    </row>
    <row r="912" ht="15.75" customHeight="1">
      <c r="H912" s="3"/>
    </row>
    <row r="913" ht="15.75" customHeight="1">
      <c r="H913" s="3"/>
    </row>
    <row r="914" ht="15.75" customHeight="1">
      <c r="H914" s="3"/>
    </row>
    <row r="915" ht="15.75" customHeight="1">
      <c r="H915" s="3"/>
    </row>
    <row r="916" ht="15.75" customHeight="1">
      <c r="H916" s="3"/>
    </row>
    <row r="917" ht="15.75" customHeight="1">
      <c r="H917" s="3"/>
    </row>
    <row r="918" ht="15.75" customHeight="1">
      <c r="H918" s="3"/>
    </row>
    <row r="919" ht="15.75" customHeight="1">
      <c r="H919" s="3"/>
    </row>
    <row r="920" ht="15.75" customHeight="1">
      <c r="H920" s="3"/>
    </row>
    <row r="921" ht="15.75" customHeight="1">
      <c r="H921" s="3"/>
    </row>
    <row r="922" ht="15.75" customHeight="1">
      <c r="H922" s="3"/>
    </row>
    <row r="923" ht="15.75" customHeight="1">
      <c r="H923" s="3"/>
    </row>
    <row r="924" ht="15.75" customHeight="1">
      <c r="H924" s="3"/>
    </row>
    <row r="925" ht="15.75" customHeight="1">
      <c r="H925" s="3"/>
    </row>
    <row r="926" ht="15.75" customHeight="1">
      <c r="H926" s="3"/>
    </row>
    <row r="927" ht="15.75" customHeight="1">
      <c r="H927" s="3"/>
    </row>
    <row r="928" ht="15.75" customHeight="1">
      <c r="H928" s="3"/>
    </row>
    <row r="929" ht="15.75" customHeight="1">
      <c r="H929" s="3"/>
    </row>
    <row r="930" ht="15.75" customHeight="1">
      <c r="H930" s="3"/>
    </row>
    <row r="931" ht="15.75" customHeight="1">
      <c r="H931" s="3"/>
    </row>
    <row r="932" ht="15.75" customHeight="1">
      <c r="H932" s="3"/>
    </row>
    <row r="933" ht="15.75" customHeight="1">
      <c r="H933" s="3"/>
    </row>
    <row r="934" ht="15.75" customHeight="1">
      <c r="H934" s="3"/>
    </row>
    <row r="935" ht="15.75" customHeight="1">
      <c r="H935" s="3"/>
    </row>
    <row r="936" ht="15.75" customHeight="1">
      <c r="H936" s="3"/>
    </row>
    <row r="937" ht="15.75" customHeight="1">
      <c r="H937" s="3"/>
    </row>
    <row r="938" ht="15.75" customHeight="1">
      <c r="H938" s="3"/>
    </row>
    <row r="939" ht="15.75" customHeight="1">
      <c r="H939" s="3"/>
    </row>
    <row r="940" ht="15.75" customHeight="1">
      <c r="H940" s="3"/>
    </row>
    <row r="941" ht="15.75" customHeight="1">
      <c r="H941" s="3"/>
    </row>
    <row r="942" ht="15.75" customHeight="1">
      <c r="H942" s="3"/>
    </row>
    <row r="943" ht="15.75" customHeight="1">
      <c r="H943" s="3"/>
    </row>
    <row r="944" ht="15.75" customHeight="1">
      <c r="H944" s="3"/>
    </row>
    <row r="945" ht="15.75" customHeight="1">
      <c r="H945" s="3"/>
    </row>
    <row r="946" ht="15.75" customHeight="1">
      <c r="H946" s="3"/>
    </row>
    <row r="947" ht="15.75" customHeight="1">
      <c r="H947" s="3"/>
    </row>
    <row r="948" ht="15.75" customHeight="1">
      <c r="H948" s="3"/>
    </row>
    <row r="949" ht="15.75" customHeight="1">
      <c r="H949" s="3"/>
    </row>
    <row r="950" ht="15.75" customHeight="1">
      <c r="H950" s="3"/>
    </row>
    <row r="951" ht="15.75" customHeight="1">
      <c r="H951" s="3"/>
    </row>
    <row r="952" ht="15.75" customHeight="1">
      <c r="H952" s="3"/>
    </row>
    <row r="953" ht="15.75" customHeight="1">
      <c r="H953" s="3"/>
    </row>
    <row r="954" ht="15.75" customHeight="1">
      <c r="H954" s="3"/>
    </row>
    <row r="955" ht="15.75" customHeight="1">
      <c r="H955" s="3"/>
    </row>
    <row r="956" ht="15.75" customHeight="1">
      <c r="H956" s="3"/>
    </row>
    <row r="957" ht="15.75" customHeight="1">
      <c r="H957" s="3"/>
    </row>
    <row r="958" ht="15.75" customHeight="1">
      <c r="H958" s="3"/>
    </row>
    <row r="959" ht="15.75" customHeight="1">
      <c r="H959" s="3"/>
    </row>
    <row r="960" ht="15.75" customHeight="1">
      <c r="H960" s="3"/>
    </row>
    <row r="961" ht="15.75" customHeight="1">
      <c r="H961" s="3"/>
    </row>
    <row r="962" ht="15.75" customHeight="1">
      <c r="H962" s="3"/>
    </row>
    <row r="963" ht="15.75" customHeight="1">
      <c r="H963" s="3"/>
    </row>
    <row r="964" ht="15.75" customHeight="1">
      <c r="H964" s="3"/>
    </row>
    <row r="965" ht="15.75" customHeight="1">
      <c r="H965" s="3"/>
    </row>
    <row r="966" ht="15.75" customHeight="1">
      <c r="H966" s="3"/>
    </row>
    <row r="967" ht="15.75" customHeight="1">
      <c r="H967" s="3"/>
    </row>
    <row r="968" ht="15.75" customHeight="1">
      <c r="H968" s="3"/>
    </row>
    <row r="969" ht="15.75" customHeight="1">
      <c r="H969" s="3"/>
    </row>
    <row r="970" ht="15.75" customHeight="1">
      <c r="H970" s="3"/>
    </row>
    <row r="971" ht="15.75" customHeight="1">
      <c r="H971" s="3"/>
    </row>
    <row r="972" ht="15.75" customHeight="1">
      <c r="H972" s="3"/>
    </row>
    <row r="973" ht="15.75" customHeight="1">
      <c r="H973" s="3"/>
    </row>
    <row r="974" ht="15.75" customHeight="1">
      <c r="H974" s="3"/>
    </row>
    <row r="975" ht="15.75" customHeight="1">
      <c r="H975" s="3"/>
    </row>
    <row r="976" ht="15.75" customHeight="1">
      <c r="H976" s="3"/>
    </row>
    <row r="977" ht="15.75" customHeight="1">
      <c r="H977" s="3"/>
    </row>
    <row r="978" ht="15.75" customHeight="1">
      <c r="H978" s="3"/>
    </row>
    <row r="979" ht="15.75" customHeight="1">
      <c r="H979" s="3"/>
    </row>
    <row r="980" ht="15.75" customHeight="1">
      <c r="H980" s="3"/>
    </row>
    <row r="981" ht="15.75" customHeight="1">
      <c r="H981" s="3"/>
    </row>
    <row r="982" ht="15.75" customHeight="1">
      <c r="H982" s="3"/>
    </row>
    <row r="983" ht="15.75" customHeight="1">
      <c r="H983" s="3"/>
    </row>
    <row r="984" ht="15.75" customHeight="1">
      <c r="H984" s="3"/>
    </row>
    <row r="985" ht="15.75" customHeight="1">
      <c r="H985" s="3"/>
    </row>
    <row r="986" ht="15.75" customHeight="1">
      <c r="H986" s="3"/>
    </row>
    <row r="987" ht="15.75" customHeight="1">
      <c r="H987" s="3"/>
    </row>
    <row r="988" ht="15.75" customHeight="1">
      <c r="H988" s="3"/>
    </row>
    <row r="989" ht="15.75" customHeight="1">
      <c r="H989" s="3"/>
    </row>
    <row r="990" ht="15.75" customHeight="1">
      <c r="H990" s="3"/>
    </row>
    <row r="991" ht="15.75" customHeight="1">
      <c r="H991" s="3"/>
    </row>
    <row r="992" ht="15.75" customHeight="1">
      <c r="H992" s="3"/>
    </row>
    <row r="993" ht="15.75" customHeight="1">
      <c r="H993" s="3"/>
    </row>
    <row r="994" ht="15.75" customHeight="1">
      <c r="H994" s="3"/>
    </row>
    <row r="995" ht="15.75" customHeight="1">
      <c r="H995" s="3"/>
    </row>
    <row r="996" ht="15.75" customHeight="1">
      <c r="H996" s="3"/>
    </row>
    <row r="997" ht="15.75" customHeight="1">
      <c r="H997" s="3"/>
    </row>
    <row r="998" ht="15.75" customHeight="1">
      <c r="H998" s="3"/>
    </row>
    <row r="999" ht="15.75" customHeight="1">
      <c r="H999" s="3"/>
    </row>
    <row r="1000" ht="15.75" customHeight="1">
      <c r="H1000" s="3"/>
    </row>
  </sheetData>
  <autoFilter ref="$A$1:$E$60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10.75"/>
    <col customWidth="1" hidden="1" min="3" max="4" width="7.75"/>
    <col customWidth="1" min="5" max="5" width="26.25"/>
    <col customWidth="1" min="6" max="6" width="18.0"/>
    <col customWidth="1" hidden="1" min="7" max="7" width="9.63"/>
    <col customWidth="1" min="8" max="8" width="12.63"/>
    <col customWidth="1" min="9" max="9" width="45.88"/>
    <col customWidth="1" min="10" max="10" width="26.25"/>
    <col customWidth="1" min="11" max="11" width="26.0"/>
    <col customWidth="1" min="12" max="12" width="17.88"/>
    <col customWidth="1" min="13" max="13" width="10.75"/>
    <col customWidth="1" min="14" max="26" width="26.25"/>
  </cols>
  <sheetData>
    <row r="1">
      <c r="A1" s="4" t="s">
        <v>22</v>
      </c>
      <c r="B1" s="15" t="s">
        <v>23</v>
      </c>
      <c r="C1" s="15" t="s">
        <v>24</v>
      </c>
      <c r="D1" s="15"/>
      <c r="E1" s="15" t="s">
        <v>25</v>
      </c>
      <c r="F1" s="15" t="s">
        <v>26</v>
      </c>
      <c r="G1" s="15" t="s">
        <v>27</v>
      </c>
      <c r="H1" s="16" t="s">
        <v>6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  <c r="N1" s="15" t="s">
        <v>33</v>
      </c>
      <c r="O1" s="15" t="s">
        <v>34</v>
      </c>
      <c r="P1" s="15" t="s">
        <v>35</v>
      </c>
    </row>
    <row r="2" ht="60.0" customHeight="1">
      <c r="A2" s="4" t="s">
        <v>36</v>
      </c>
      <c r="B2" s="17" t="s">
        <v>131</v>
      </c>
      <c r="C2" s="17" t="s">
        <v>55</v>
      </c>
      <c r="D2" s="17"/>
      <c r="E2" s="17" t="s">
        <v>137</v>
      </c>
      <c r="F2" s="17" t="s">
        <v>138</v>
      </c>
      <c r="G2" s="17" t="s">
        <v>139</v>
      </c>
      <c r="H2" s="18">
        <v>14.2</v>
      </c>
      <c r="I2" s="17" t="s">
        <v>140</v>
      </c>
      <c r="J2" s="17" t="s">
        <v>137</v>
      </c>
      <c r="K2" s="17" t="s">
        <v>141</v>
      </c>
      <c r="L2" s="17" t="s">
        <v>142</v>
      </c>
      <c r="M2" s="17" t="s">
        <v>143</v>
      </c>
      <c r="N2" s="17" t="s">
        <v>45</v>
      </c>
      <c r="O2" s="17" t="s">
        <v>144</v>
      </c>
      <c r="P2" s="17" t="s">
        <v>74</v>
      </c>
    </row>
    <row r="3" ht="60.0" customHeight="1">
      <c r="A3" s="4" t="s">
        <v>168</v>
      </c>
      <c r="B3" s="17" t="s">
        <v>183</v>
      </c>
      <c r="C3" s="17" t="s">
        <v>55</v>
      </c>
      <c r="D3" s="17"/>
      <c r="E3" s="17" t="s">
        <v>92</v>
      </c>
      <c r="F3" s="17" t="s">
        <v>138</v>
      </c>
      <c r="G3" s="17" t="s">
        <v>139</v>
      </c>
      <c r="H3" s="18">
        <v>28.14</v>
      </c>
      <c r="I3" s="17" t="s">
        <v>184</v>
      </c>
      <c r="J3" s="17" t="s">
        <v>92</v>
      </c>
      <c r="K3" s="17" t="s">
        <v>96</v>
      </c>
      <c r="L3" s="17" t="s">
        <v>97</v>
      </c>
      <c r="M3" s="17" t="s">
        <v>98</v>
      </c>
      <c r="N3" s="17" t="s">
        <v>45</v>
      </c>
      <c r="O3" s="17" t="s">
        <v>185</v>
      </c>
      <c r="P3" s="17" t="s">
        <v>64</v>
      </c>
    </row>
    <row r="4" ht="60.0" customHeight="1">
      <c r="A4" s="4" t="s">
        <v>36</v>
      </c>
      <c r="B4" s="20" t="s">
        <v>131</v>
      </c>
      <c r="C4" s="20" t="s">
        <v>55</v>
      </c>
      <c r="D4" s="20"/>
      <c r="E4" s="20" t="s">
        <v>246</v>
      </c>
      <c r="F4" s="20" t="s">
        <v>138</v>
      </c>
      <c r="G4" s="20" t="s">
        <v>139</v>
      </c>
      <c r="H4" s="21">
        <v>61.02</v>
      </c>
      <c r="I4" s="20" t="s">
        <v>247</v>
      </c>
      <c r="J4" s="20" t="s">
        <v>246</v>
      </c>
      <c r="K4" s="20" t="s">
        <v>248</v>
      </c>
      <c r="L4" s="20" t="s">
        <v>71</v>
      </c>
      <c r="M4" s="20" t="s">
        <v>249</v>
      </c>
      <c r="N4" s="20" t="s">
        <v>45</v>
      </c>
      <c r="O4" s="20" t="s">
        <v>250</v>
      </c>
      <c r="P4" s="20" t="s">
        <v>114</v>
      </c>
    </row>
    <row r="5" ht="60.0" customHeight="1">
      <c r="A5" s="4" t="s">
        <v>36</v>
      </c>
      <c r="B5" s="17" t="s">
        <v>257</v>
      </c>
      <c r="C5" s="17" t="s">
        <v>55</v>
      </c>
      <c r="D5" s="17"/>
      <c r="E5" s="17" t="s">
        <v>258</v>
      </c>
      <c r="F5" s="17" t="s">
        <v>138</v>
      </c>
      <c r="G5" s="17" t="s">
        <v>139</v>
      </c>
      <c r="H5" s="18">
        <v>75.13</v>
      </c>
      <c r="I5" s="17" t="s">
        <v>259</v>
      </c>
      <c r="J5" s="17" t="s">
        <v>258</v>
      </c>
      <c r="K5" s="17" t="s">
        <v>260</v>
      </c>
      <c r="L5" s="17" t="s">
        <v>142</v>
      </c>
      <c r="M5" s="17" t="s">
        <v>143</v>
      </c>
      <c r="N5" s="17" t="s">
        <v>45</v>
      </c>
      <c r="O5" s="17" t="s">
        <v>261</v>
      </c>
      <c r="P5" s="17" t="s">
        <v>122</v>
      </c>
    </row>
    <row r="6" ht="60.0" customHeight="1">
      <c r="A6" s="4" t="s">
        <v>36</v>
      </c>
      <c r="B6" s="20" t="s">
        <v>262</v>
      </c>
      <c r="C6" s="20" t="s">
        <v>55</v>
      </c>
      <c r="D6" s="20"/>
      <c r="E6" s="20" t="s">
        <v>263</v>
      </c>
      <c r="F6" s="20" t="s">
        <v>138</v>
      </c>
      <c r="G6" s="20" t="s">
        <v>139</v>
      </c>
      <c r="H6" s="21">
        <v>76.89</v>
      </c>
      <c r="I6" s="20" t="s">
        <v>264</v>
      </c>
      <c r="J6" s="20" t="s">
        <v>263</v>
      </c>
      <c r="K6" s="20" t="s">
        <v>265</v>
      </c>
      <c r="L6" s="20" t="s">
        <v>142</v>
      </c>
      <c r="M6" s="20" t="s">
        <v>166</v>
      </c>
      <c r="N6" s="20" t="s">
        <v>45</v>
      </c>
      <c r="O6" s="20" t="s">
        <v>266</v>
      </c>
      <c r="P6" s="20" t="s">
        <v>114</v>
      </c>
    </row>
    <row r="7" ht="60.0" customHeight="1">
      <c r="A7" s="4" t="s">
        <v>36</v>
      </c>
      <c r="B7" s="20" t="s">
        <v>83</v>
      </c>
      <c r="C7" s="20" t="s">
        <v>55</v>
      </c>
      <c r="D7" s="20"/>
      <c r="E7" s="20" t="s">
        <v>92</v>
      </c>
      <c r="F7" s="20" t="s">
        <v>138</v>
      </c>
      <c r="G7" s="20" t="s">
        <v>139</v>
      </c>
      <c r="H7" s="21">
        <v>116.73</v>
      </c>
      <c r="I7" s="20" t="s">
        <v>334</v>
      </c>
      <c r="J7" s="20" t="s">
        <v>92</v>
      </c>
      <c r="K7" s="20" t="s">
        <v>208</v>
      </c>
      <c r="L7" s="20" t="s">
        <v>97</v>
      </c>
      <c r="M7" s="20" t="s">
        <v>98</v>
      </c>
      <c r="N7" s="20" t="s">
        <v>45</v>
      </c>
      <c r="O7" s="20" t="s">
        <v>335</v>
      </c>
      <c r="P7" s="20" t="s">
        <v>64</v>
      </c>
    </row>
    <row r="8" ht="60.0" customHeight="1">
      <c r="A8" s="22" t="s">
        <v>168</v>
      </c>
      <c r="B8" s="20" t="s">
        <v>108</v>
      </c>
      <c r="C8" s="20" t="s">
        <v>55</v>
      </c>
      <c r="D8" s="20"/>
      <c r="E8" s="20" t="s">
        <v>92</v>
      </c>
      <c r="F8" s="20" t="s">
        <v>138</v>
      </c>
      <c r="G8" s="20" t="s">
        <v>139</v>
      </c>
      <c r="H8" s="21">
        <v>118.35</v>
      </c>
      <c r="I8" s="20" t="s">
        <v>338</v>
      </c>
      <c r="J8" s="20" t="s">
        <v>92</v>
      </c>
      <c r="K8" s="20" t="s">
        <v>208</v>
      </c>
      <c r="L8" s="20" t="s">
        <v>97</v>
      </c>
      <c r="M8" s="20" t="s">
        <v>98</v>
      </c>
      <c r="N8" s="20" t="s">
        <v>45</v>
      </c>
      <c r="O8" s="20" t="s">
        <v>339</v>
      </c>
      <c r="P8" s="20" t="s">
        <v>64</v>
      </c>
    </row>
    <row r="9" ht="60.0" customHeight="1">
      <c r="A9" s="4" t="s">
        <v>506</v>
      </c>
      <c r="B9" s="20" t="s">
        <v>156</v>
      </c>
      <c r="C9" s="20" t="s">
        <v>55</v>
      </c>
      <c r="D9" s="20"/>
      <c r="E9" s="20" t="s">
        <v>92</v>
      </c>
      <c r="F9" s="20" t="s">
        <v>138</v>
      </c>
      <c r="G9" s="20" t="s">
        <v>139</v>
      </c>
      <c r="H9" s="21">
        <v>12.44</v>
      </c>
      <c r="I9" s="20" t="s">
        <v>591</v>
      </c>
      <c r="J9" s="20" t="s">
        <v>92</v>
      </c>
      <c r="K9" s="20" t="s">
        <v>208</v>
      </c>
      <c r="L9" s="20" t="s">
        <v>97</v>
      </c>
      <c r="M9" s="20" t="s">
        <v>98</v>
      </c>
      <c r="N9" s="20" t="s">
        <v>45</v>
      </c>
      <c r="O9" s="20" t="s">
        <v>592</v>
      </c>
      <c r="P9" s="20" t="s">
        <v>64</v>
      </c>
    </row>
    <row r="10" ht="60.0" customHeight="1">
      <c r="A10" s="4" t="s">
        <v>710</v>
      </c>
      <c r="B10" s="20" t="s">
        <v>54</v>
      </c>
      <c r="C10" s="20" t="s">
        <v>55</v>
      </c>
      <c r="D10" s="20"/>
      <c r="E10" s="20" t="s">
        <v>92</v>
      </c>
      <c r="F10" s="20" t="s">
        <v>138</v>
      </c>
      <c r="G10" s="20" t="s">
        <v>139</v>
      </c>
      <c r="H10" s="21">
        <v>27.65</v>
      </c>
      <c r="I10" s="20" t="s">
        <v>737</v>
      </c>
      <c r="J10" s="20" t="s">
        <v>92</v>
      </c>
      <c r="K10" s="20" t="s">
        <v>208</v>
      </c>
      <c r="L10" s="20" t="s">
        <v>97</v>
      </c>
      <c r="M10" s="20" t="s">
        <v>98</v>
      </c>
      <c r="N10" s="20" t="s">
        <v>45</v>
      </c>
      <c r="O10" s="20" t="s">
        <v>738</v>
      </c>
      <c r="P10" s="20" t="s">
        <v>64</v>
      </c>
    </row>
    <row r="11" ht="60.0" customHeight="1">
      <c r="A11" s="4" t="s">
        <v>710</v>
      </c>
      <c r="B11" s="17" t="s">
        <v>123</v>
      </c>
      <c r="C11" s="17" t="s">
        <v>55</v>
      </c>
      <c r="D11" s="17"/>
      <c r="E11" s="17" t="s">
        <v>92</v>
      </c>
      <c r="F11" s="17" t="s">
        <v>138</v>
      </c>
      <c r="G11" s="17" t="s">
        <v>139</v>
      </c>
      <c r="H11" s="18">
        <v>41.36</v>
      </c>
      <c r="I11" s="17" t="s">
        <v>827</v>
      </c>
      <c r="J11" s="17" t="s">
        <v>92</v>
      </c>
      <c r="K11" s="17" t="s">
        <v>208</v>
      </c>
      <c r="L11" s="17" t="s">
        <v>97</v>
      </c>
      <c r="M11" s="17" t="s">
        <v>98</v>
      </c>
      <c r="N11" s="17" t="s">
        <v>45</v>
      </c>
      <c r="O11" s="17" t="s">
        <v>828</v>
      </c>
      <c r="P11" s="17" t="s">
        <v>64</v>
      </c>
    </row>
    <row r="12" ht="60.0" customHeight="1">
      <c r="A12" s="4" t="s">
        <v>506</v>
      </c>
      <c r="B12" s="17" t="s">
        <v>156</v>
      </c>
      <c r="C12" s="17" t="s">
        <v>55</v>
      </c>
      <c r="D12" s="17"/>
      <c r="E12" s="17" t="s">
        <v>833</v>
      </c>
      <c r="F12" s="17" t="s">
        <v>138</v>
      </c>
      <c r="G12" s="17" t="s">
        <v>139</v>
      </c>
      <c r="H12" s="18">
        <v>64.59</v>
      </c>
      <c r="I12" s="17" t="s">
        <v>834</v>
      </c>
      <c r="J12" s="17" t="s">
        <v>833</v>
      </c>
      <c r="K12" s="17" t="s">
        <v>835</v>
      </c>
      <c r="L12" s="17" t="s">
        <v>142</v>
      </c>
      <c r="M12" s="17" t="s">
        <v>143</v>
      </c>
      <c r="N12" s="17" t="s">
        <v>45</v>
      </c>
      <c r="O12" s="17" t="s">
        <v>926</v>
      </c>
      <c r="P12" s="17" t="s">
        <v>74</v>
      </c>
    </row>
    <row r="13" ht="60.0" customHeight="1">
      <c r="A13" s="4" t="s">
        <v>506</v>
      </c>
      <c r="B13" s="17" t="s">
        <v>225</v>
      </c>
      <c r="C13" s="17" t="s">
        <v>55</v>
      </c>
      <c r="D13" s="17"/>
      <c r="E13" s="17" t="s">
        <v>946</v>
      </c>
      <c r="F13" s="17" t="s">
        <v>138</v>
      </c>
      <c r="G13" s="17" t="s">
        <v>139</v>
      </c>
      <c r="H13" s="18">
        <v>68.37</v>
      </c>
      <c r="I13" s="17" t="s">
        <v>947</v>
      </c>
      <c r="J13" s="17" t="s">
        <v>946</v>
      </c>
      <c r="K13" s="17" t="s">
        <v>948</v>
      </c>
      <c r="L13" s="17" t="s">
        <v>949</v>
      </c>
      <c r="M13" s="17" t="s">
        <v>950</v>
      </c>
      <c r="N13" s="17" t="s">
        <v>45</v>
      </c>
      <c r="O13" s="17" t="s">
        <v>951</v>
      </c>
      <c r="P13" s="17" t="s">
        <v>64</v>
      </c>
    </row>
    <row r="14" ht="60.0" customHeight="1">
      <c r="A14" s="4" t="s">
        <v>506</v>
      </c>
      <c r="B14" s="20" t="s">
        <v>134</v>
      </c>
      <c r="C14" s="20" t="s">
        <v>55</v>
      </c>
      <c r="D14" s="20"/>
      <c r="E14" s="20" t="s">
        <v>557</v>
      </c>
      <c r="F14" s="20" t="s">
        <v>138</v>
      </c>
      <c r="G14" s="20" t="s">
        <v>139</v>
      </c>
      <c r="H14" s="21">
        <v>82.49</v>
      </c>
      <c r="I14" s="20" t="s">
        <v>1001</v>
      </c>
      <c r="J14" s="20" t="s">
        <v>557</v>
      </c>
      <c r="K14" s="20" t="s">
        <v>188</v>
      </c>
      <c r="L14" s="20" t="s">
        <v>189</v>
      </c>
      <c r="M14" s="20" t="s">
        <v>190</v>
      </c>
      <c r="N14" s="20" t="s">
        <v>45</v>
      </c>
      <c r="O14" s="20" t="s">
        <v>1002</v>
      </c>
      <c r="P14" s="20" t="s">
        <v>64</v>
      </c>
    </row>
    <row r="15" ht="60.0" customHeight="1">
      <c r="A15" s="4" t="s">
        <v>506</v>
      </c>
      <c r="B15" s="17" t="s">
        <v>301</v>
      </c>
      <c r="C15" s="17" t="s">
        <v>55</v>
      </c>
      <c r="D15" s="17"/>
      <c r="E15" s="17" t="s">
        <v>1024</v>
      </c>
      <c r="F15" s="17" t="s">
        <v>138</v>
      </c>
      <c r="G15" s="17" t="s">
        <v>139</v>
      </c>
      <c r="H15" s="18">
        <v>92.64</v>
      </c>
      <c r="I15" s="17" t="s">
        <v>1025</v>
      </c>
      <c r="J15" s="17" t="s">
        <v>1024</v>
      </c>
      <c r="K15" s="17" t="s">
        <v>1026</v>
      </c>
      <c r="L15" s="17" t="s">
        <v>142</v>
      </c>
      <c r="M15" s="17" t="s">
        <v>180</v>
      </c>
      <c r="N15" s="17" t="s">
        <v>45</v>
      </c>
      <c r="O15" s="17" t="s">
        <v>1027</v>
      </c>
      <c r="P15" s="17" t="s">
        <v>174</v>
      </c>
    </row>
    <row r="16" ht="60.0" customHeight="1">
      <c r="A16" s="4" t="s">
        <v>506</v>
      </c>
      <c r="B16" s="17" t="s">
        <v>301</v>
      </c>
      <c r="C16" s="17" t="s">
        <v>55</v>
      </c>
      <c r="D16" s="17"/>
      <c r="E16" s="17" t="s">
        <v>1040</v>
      </c>
      <c r="F16" s="17" t="s">
        <v>138</v>
      </c>
      <c r="G16" s="17" t="s">
        <v>139</v>
      </c>
      <c r="H16" s="18">
        <v>99.17</v>
      </c>
      <c r="I16" s="17" t="s">
        <v>1041</v>
      </c>
      <c r="J16" s="17" t="s">
        <v>1040</v>
      </c>
      <c r="K16" s="17" t="s">
        <v>1042</v>
      </c>
      <c r="L16" s="17" t="s">
        <v>142</v>
      </c>
      <c r="M16" s="17" t="s">
        <v>180</v>
      </c>
      <c r="N16" s="17" t="s">
        <v>45</v>
      </c>
      <c r="O16" s="17" t="s">
        <v>1043</v>
      </c>
      <c r="P16" s="17" t="s">
        <v>182</v>
      </c>
    </row>
    <row r="17" ht="60.0" customHeight="1">
      <c r="A17" s="4" t="s">
        <v>506</v>
      </c>
      <c r="B17" s="20" t="s">
        <v>37</v>
      </c>
      <c r="C17" s="20" t="s">
        <v>55</v>
      </c>
      <c r="D17" s="20"/>
      <c r="E17" s="20" t="s">
        <v>557</v>
      </c>
      <c r="F17" s="20" t="s">
        <v>138</v>
      </c>
      <c r="G17" s="20" t="s">
        <v>139</v>
      </c>
      <c r="H17" s="21">
        <v>100.0</v>
      </c>
      <c r="I17" s="20" t="s">
        <v>1071</v>
      </c>
      <c r="J17" s="20" t="s">
        <v>557</v>
      </c>
      <c r="K17" s="20" t="s">
        <v>188</v>
      </c>
      <c r="L17" s="20" t="s">
        <v>189</v>
      </c>
      <c r="M17" s="20" t="s">
        <v>190</v>
      </c>
      <c r="N17" s="20" t="s">
        <v>45</v>
      </c>
      <c r="O17" s="20" t="s">
        <v>1072</v>
      </c>
      <c r="P17" s="20" t="s">
        <v>64</v>
      </c>
    </row>
    <row r="18" ht="60.0" customHeight="1">
      <c r="A18" s="22" t="s">
        <v>506</v>
      </c>
      <c r="B18" s="17" t="s">
        <v>100</v>
      </c>
      <c r="C18" s="17" t="s">
        <v>55</v>
      </c>
      <c r="D18" s="17"/>
      <c r="E18" s="17" t="s">
        <v>374</v>
      </c>
      <c r="F18" s="17" t="s">
        <v>138</v>
      </c>
      <c r="G18" s="17" t="s">
        <v>139</v>
      </c>
      <c r="H18" s="18">
        <v>109.46</v>
      </c>
      <c r="I18" s="17" t="s">
        <v>1081</v>
      </c>
      <c r="J18" s="17" t="s">
        <v>374</v>
      </c>
      <c r="K18" s="17" t="s">
        <v>376</v>
      </c>
      <c r="L18" s="17" t="s">
        <v>142</v>
      </c>
      <c r="M18" s="17" t="s">
        <v>166</v>
      </c>
      <c r="N18" s="17" t="s">
        <v>45</v>
      </c>
      <c r="O18" s="17" t="s">
        <v>1082</v>
      </c>
      <c r="P18" s="17" t="s">
        <v>74</v>
      </c>
    </row>
    <row r="19" ht="60.0" customHeight="1">
      <c r="A19" s="4" t="s">
        <v>710</v>
      </c>
      <c r="B19" s="20" t="s">
        <v>131</v>
      </c>
      <c r="C19" s="20" t="s">
        <v>55</v>
      </c>
      <c r="D19" s="20"/>
      <c r="E19" s="20" t="s">
        <v>1099</v>
      </c>
      <c r="F19" s="20" t="s">
        <v>138</v>
      </c>
      <c r="G19" s="20" t="s">
        <v>139</v>
      </c>
      <c r="H19" s="21">
        <v>127.97</v>
      </c>
      <c r="I19" s="20" t="s">
        <v>1100</v>
      </c>
      <c r="J19" s="20" t="s">
        <v>1099</v>
      </c>
      <c r="K19" s="20" t="s">
        <v>1101</v>
      </c>
      <c r="L19" s="20" t="s">
        <v>142</v>
      </c>
      <c r="M19" s="20" t="s">
        <v>1102</v>
      </c>
      <c r="N19" s="20" t="s">
        <v>45</v>
      </c>
      <c r="O19" s="20" t="s">
        <v>1103</v>
      </c>
      <c r="P19" s="20" t="s">
        <v>114</v>
      </c>
    </row>
    <row r="20" ht="60.0" customHeight="1">
      <c r="A20" s="4" t="s">
        <v>710</v>
      </c>
      <c r="B20" s="20" t="s">
        <v>257</v>
      </c>
      <c r="C20" s="20" t="s">
        <v>55</v>
      </c>
      <c r="D20" s="20"/>
      <c r="E20" s="20" t="s">
        <v>1040</v>
      </c>
      <c r="F20" s="20" t="s">
        <v>138</v>
      </c>
      <c r="G20" s="20" t="s">
        <v>139</v>
      </c>
      <c r="H20" s="21">
        <v>131.78</v>
      </c>
      <c r="I20" s="20" t="s">
        <v>1110</v>
      </c>
      <c r="J20" s="20" t="s">
        <v>1040</v>
      </c>
      <c r="K20" s="20" t="s">
        <v>1042</v>
      </c>
      <c r="L20" s="20" t="s">
        <v>142</v>
      </c>
      <c r="M20" s="20" t="s">
        <v>180</v>
      </c>
      <c r="N20" s="20" t="s">
        <v>45</v>
      </c>
      <c r="O20" s="20" t="s">
        <v>1111</v>
      </c>
      <c r="P20" s="20" t="s">
        <v>182</v>
      </c>
    </row>
    <row r="21" ht="60.0" customHeight="1">
      <c r="A21" s="4" t="s">
        <v>710</v>
      </c>
      <c r="B21" s="17" t="s">
        <v>131</v>
      </c>
      <c r="C21" s="17" t="s">
        <v>55</v>
      </c>
      <c r="D21" s="17"/>
      <c r="E21" s="17" t="s">
        <v>92</v>
      </c>
      <c r="F21" s="17" t="s">
        <v>138</v>
      </c>
      <c r="G21" s="17" t="s">
        <v>139</v>
      </c>
      <c r="H21" s="18">
        <v>153.49</v>
      </c>
      <c r="I21" s="17" t="s">
        <v>1147</v>
      </c>
      <c r="J21" s="17" t="s">
        <v>92</v>
      </c>
      <c r="K21" s="17" t="s">
        <v>208</v>
      </c>
      <c r="L21" s="17" t="s">
        <v>97</v>
      </c>
      <c r="M21" s="17" t="s">
        <v>98</v>
      </c>
      <c r="N21" s="17" t="s">
        <v>45</v>
      </c>
      <c r="O21" s="17" t="s">
        <v>1148</v>
      </c>
      <c r="P21" s="17" t="s">
        <v>64</v>
      </c>
    </row>
    <row r="22" ht="60.0" customHeight="1">
      <c r="A22" s="4" t="s">
        <v>710</v>
      </c>
      <c r="B22" s="20" t="s">
        <v>115</v>
      </c>
      <c r="C22" s="20" t="s">
        <v>55</v>
      </c>
      <c r="D22" s="20"/>
      <c r="E22" s="20" t="s">
        <v>92</v>
      </c>
      <c r="F22" s="20" t="s">
        <v>138</v>
      </c>
      <c r="G22" s="20" t="s">
        <v>139</v>
      </c>
      <c r="H22" s="21">
        <v>158.66</v>
      </c>
      <c r="I22" s="20" t="s">
        <v>1155</v>
      </c>
      <c r="J22" s="20" t="s">
        <v>92</v>
      </c>
      <c r="K22" s="20" t="s">
        <v>208</v>
      </c>
      <c r="L22" s="20" t="s">
        <v>97</v>
      </c>
      <c r="M22" s="20" t="s">
        <v>98</v>
      </c>
      <c r="N22" s="20" t="s">
        <v>45</v>
      </c>
      <c r="O22" s="20" t="s">
        <v>1156</v>
      </c>
      <c r="P22" s="20" t="s">
        <v>64</v>
      </c>
    </row>
    <row r="23" ht="60.0" customHeight="1">
      <c r="A23" s="4" t="s">
        <v>710</v>
      </c>
      <c r="B23" s="17" t="s">
        <v>290</v>
      </c>
      <c r="C23" s="17" t="s">
        <v>55</v>
      </c>
      <c r="D23" s="17"/>
      <c r="E23" s="17" t="s">
        <v>766</v>
      </c>
      <c r="F23" s="17" t="s">
        <v>138</v>
      </c>
      <c r="G23" s="17" t="s">
        <v>139</v>
      </c>
      <c r="H23" s="18">
        <v>161.25</v>
      </c>
      <c r="I23" s="17" t="s">
        <v>1159</v>
      </c>
      <c r="J23" s="17" t="s">
        <v>766</v>
      </c>
      <c r="K23" s="17" t="s">
        <v>768</v>
      </c>
      <c r="L23" s="17" t="s">
        <v>142</v>
      </c>
      <c r="M23" s="17" t="s">
        <v>166</v>
      </c>
      <c r="N23" s="17" t="s">
        <v>45</v>
      </c>
      <c r="O23" s="17" t="s">
        <v>1160</v>
      </c>
      <c r="P23" s="17" t="s">
        <v>74</v>
      </c>
    </row>
    <row r="24" ht="60.0" customHeight="1">
      <c r="A24" s="4" t="s">
        <v>710</v>
      </c>
      <c r="B24" s="20" t="s">
        <v>233</v>
      </c>
      <c r="C24" s="20" t="s">
        <v>55</v>
      </c>
      <c r="D24" s="20"/>
      <c r="E24" s="20" t="s">
        <v>92</v>
      </c>
      <c r="F24" s="20" t="s">
        <v>138</v>
      </c>
      <c r="G24" s="20" t="s">
        <v>139</v>
      </c>
      <c r="H24" s="21">
        <v>171.9</v>
      </c>
      <c r="I24" s="20" t="s">
        <v>1171</v>
      </c>
      <c r="J24" s="20" t="s">
        <v>92</v>
      </c>
      <c r="K24" s="20" t="s">
        <v>208</v>
      </c>
      <c r="L24" s="20" t="s">
        <v>97</v>
      </c>
      <c r="M24" s="20" t="s">
        <v>98</v>
      </c>
      <c r="N24" s="20" t="s">
        <v>45</v>
      </c>
      <c r="O24" s="20" t="s">
        <v>1172</v>
      </c>
      <c r="P24" s="20" t="s">
        <v>64</v>
      </c>
    </row>
    <row r="25" ht="60.0" customHeight="1">
      <c r="A25" s="4" t="s">
        <v>710</v>
      </c>
      <c r="B25" s="20" t="s">
        <v>262</v>
      </c>
      <c r="C25" s="20" t="s">
        <v>55</v>
      </c>
      <c r="D25" s="20"/>
      <c r="E25" s="20" t="s">
        <v>92</v>
      </c>
      <c r="F25" s="20" t="s">
        <v>138</v>
      </c>
      <c r="G25" s="20" t="s">
        <v>139</v>
      </c>
      <c r="H25" s="21">
        <v>172.42</v>
      </c>
      <c r="I25" s="20" t="s">
        <v>1175</v>
      </c>
      <c r="J25" s="20" t="s">
        <v>92</v>
      </c>
      <c r="K25" s="20" t="s">
        <v>208</v>
      </c>
      <c r="L25" s="20" t="s">
        <v>97</v>
      </c>
      <c r="M25" s="20" t="s">
        <v>98</v>
      </c>
      <c r="N25" s="20" t="s">
        <v>45</v>
      </c>
      <c r="O25" s="20" t="s">
        <v>1176</v>
      </c>
      <c r="P25" s="20" t="s">
        <v>64</v>
      </c>
    </row>
    <row r="26" ht="60.0" customHeight="1">
      <c r="A26" s="4" t="s">
        <v>710</v>
      </c>
      <c r="B26" s="17" t="s">
        <v>183</v>
      </c>
      <c r="C26" s="17" t="s">
        <v>55</v>
      </c>
      <c r="D26" s="17"/>
      <c r="E26" s="17" t="s">
        <v>92</v>
      </c>
      <c r="F26" s="17" t="s">
        <v>138</v>
      </c>
      <c r="G26" s="17" t="s">
        <v>139</v>
      </c>
      <c r="H26" s="18">
        <v>173.17</v>
      </c>
      <c r="I26" s="17" t="s">
        <v>1183</v>
      </c>
      <c r="J26" s="17" t="s">
        <v>92</v>
      </c>
      <c r="K26" s="17" t="s">
        <v>208</v>
      </c>
      <c r="L26" s="17" t="s">
        <v>97</v>
      </c>
      <c r="M26" s="17" t="s">
        <v>98</v>
      </c>
      <c r="N26" s="17" t="s">
        <v>45</v>
      </c>
      <c r="O26" s="17" t="s">
        <v>1184</v>
      </c>
      <c r="P26" s="17" t="s">
        <v>64</v>
      </c>
    </row>
    <row r="27" ht="60.0" customHeight="1">
      <c r="A27" s="4" t="s">
        <v>710</v>
      </c>
      <c r="B27" s="20" t="s">
        <v>290</v>
      </c>
      <c r="C27" s="20" t="s">
        <v>55</v>
      </c>
      <c r="D27" s="20"/>
      <c r="E27" s="20" t="s">
        <v>92</v>
      </c>
      <c r="F27" s="20" t="s">
        <v>138</v>
      </c>
      <c r="G27" s="20" t="s">
        <v>139</v>
      </c>
      <c r="H27" s="21">
        <v>173.42</v>
      </c>
      <c r="I27" s="20" t="s">
        <v>1185</v>
      </c>
      <c r="J27" s="20" t="s">
        <v>92</v>
      </c>
      <c r="K27" s="20" t="s">
        <v>208</v>
      </c>
      <c r="L27" s="20" t="s">
        <v>97</v>
      </c>
      <c r="M27" s="20" t="s">
        <v>98</v>
      </c>
      <c r="N27" s="20" t="s">
        <v>45</v>
      </c>
      <c r="O27" s="20" t="s">
        <v>1186</v>
      </c>
      <c r="P27" s="20" t="s">
        <v>64</v>
      </c>
    </row>
    <row r="28" ht="60.0" customHeight="1">
      <c r="A28" s="22" t="s">
        <v>710</v>
      </c>
      <c r="B28" s="17" t="s">
        <v>65</v>
      </c>
      <c r="C28" s="17" t="s">
        <v>55</v>
      </c>
      <c r="D28" s="17"/>
      <c r="E28" s="17" t="s">
        <v>92</v>
      </c>
      <c r="F28" s="17" t="s">
        <v>138</v>
      </c>
      <c r="G28" s="17" t="s">
        <v>139</v>
      </c>
      <c r="H28" s="18">
        <v>175.0</v>
      </c>
      <c r="I28" s="17" t="s">
        <v>1198</v>
      </c>
      <c r="J28" s="17" t="s">
        <v>92</v>
      </c>
      <c r="K28" s="17" t="s">
        <v>208</v>
      </c>
      <c r="L28" s="17" t="s">
        <v>97</v>
      </c>
      <c r="M28" s="17" t="s">
        <v>98</v>
      </c>
      <c r="N28" s="17" t="s">
        <v>45</v>
      </c>
      <c r="O28" s="17" t="s">
        <v>1199</v>
      </c>
      <c r="P28" s="17" t="s">
        <v>64</v>
      </c>
    </row>
    <row r="29" ht="60.0" customHeight="1">
      <c r="A29" s="4" t="s">
        <v>710</v>
      </c>
      <c r="B29" s="17" t="s">
        <v>131</v>
      </c>
      <c r="C29" s="17" t="s">
        <v>55</v>
      </c>
      <c r="D29" s="17"/>
      <c r="E29" s="17" t="s">
        <v>263</v>
      </c>
      <c r="F29" s="17" t="s">
        <v>138</v>
      </c>
      <c r="G29" s="17" t="s">
        <v>139</v>
      </c>
      <c r="H29" s="18">
        <v>219.11</v>
      </c>
      <c r="I29" s="17" t="s">
        <v>1239</v>
      </c>
      <c r="J29" s="17" t="s">
        <v>263</v>
      </c>
      <c r="K29" s="17" t="s">
        <v>265</v>
      </c>
      <c r="L29" s="17" t="s">
        <v>142</v>
      </c>
      <c r="M29" s="17" t="s">
        <v>166</v>
      </c>
      <c r="N29" s="17" t="s">
        <v>45</v>
      </c>
      <c r="O29" s="17" t="s">
        <v>1240</v>
      </c>
      <c r="P29" s="17" t="s">
        <v>114</v>
      </c>
    </row>
    <row r="30" ht="15.75" customHeight="1">
      <c r="F30" s="23"/>
      <c r="H30" s="3"/>
    </row>
    <row r="31" ht="15.75" customHeight="1">
      <c r="F31" s="23" t="s">
        <v>14</v>
      </c>
      <c r="H31" s="3">
        <f>SUM(H2:H30)</f>
        <v>3006.8</v>
      </c>
    </row>
    <row r="32" ht="15.75" customHeight="1">
      <c r="H32" s="3"/>
    </row>
    <row r="33" ht="15.75" customHeight="1">
      <c r="F33" s="5" t="s">
        <v>5</v>
      </c>
      <c r="G33" s="5"/>
      <c r="H33" s="11"/>
      <c r="I33" s="5" t="s">
        <v>7</v>
      </c>
      <c r="J33" s="5" t="s">
        <v>8</v>
      </c>
      <c r="K33" s="5" t="s">
        <v>9</v>
      </c>
    </row>
    <row r="34" ht="15.75" customHeight="1">
      <c r="F34" s="7" t="s">
        <v>10</v>
      </c>
      <c r="H34" s="12">
        <f>SUMIF($A$2:$A$29,"no",$H$2:$H$29)</f>
        <v>490.46</v>
      </c>
      <c r="I34" s="7">
        <f>COUNTIF($A$2:$A$29,"no")</f>
        <v>7</v>
      </c>
      <c r="J34" s="9">
        <f t="shared" ref="J34:K34" si="1">H34/H36</f>
        <v>0.1631169349</v>
      </c>
      <c r="K34" s="9">
        <f t="shared" si="1"/>
        <v>0.25</v>
      </c>
    </row>
    <row r="35" ht="15.75" customHeight="1">
      <c r="F35" s="4" t="s">
        <v>11</v>
      </c>
      <c r="H35" s="3">
        <f>SUMIF($A$2:$A$29,"yes",$H$2:$H$29)</f>
        <v>2516.34</v>
      </c>
      <c r="I35" s="4">
        <f>COUNTIF($A$2:$A$29,"yes")</f>
        <v>21</v>
      </c>
      <c r="J35" s="10">
        <f t="shared" ref="J35:K35" si="2">H35/H36</f>
        <v>0.8368830651</v>
      </c>
      <c r="K35" s="10">
        <f t="shared" si="2"/>
        <v>0.75</v>
      </c>
    </row>
    <row r="36" ht="15.75" customHeight="1">
      <c r="F36" s="4" t="s">
        <v>14</v>
      </c>
      <c r="H36" s="3">
        <f t="shared" ref="H36:I36" si="3">SUM(H34:H35)</f>
        <v>3006.8</v>
      </c>
      <c r="I36" s="4">
        <f t="shared" si="3"/>
        <v>28</v>
      </c>
    </row>
    <row r="37" ht="15.75" customHeight="1">
      <c r="H37" s="3"/>
    </row>
    <row r="38" ht="15.75" customHeight="1">
      <c r="H38" s="3"/>
    </row>
    <row r="39" ht="15.75" customHeight="1">
      <c r="H39" s="3"/>
    </row>
    <row r="40" ht="15.75" customHeight="1">
      <c r="H40" s="3"/>
    </row>
    <row r="41" ht="15.75" customHeight="1">
      <c r="H41" s="3"/>
    </row>
    <row r="42" ht="15.75" customHeight="1">
      <c r="H42" s="3"/>
    </row>
    <row r="43" ht="15.75" customHeight="1">
      <c r="H43" s="3"/>
    </row>
    <row r="44" ht="15.75" customHeight="1">
      <c r="H44" s="3"/>
    </row>
    <row r="45" ht="15.75" customHeight="1">
      <c r="H45" s="3"/>
    </row>
    <row r="46" ht="15.75" customHeight="1">
      <c r="H46" s="3"/>
    </row>
    <row r="47" ht="15.75" customHeight="1">
      <c r="H47" s="3"/>
    </row>
    <row r="48" ht="15.75" customHeight="1">
      <c r="H48" s="3"/>
    </row>
    <row r="49" ht="15.75" customHeight="1">
      <c r="H49" s="3"/>
    </row>
    <row r="50" ht="15.75" customHeight="1">
      <c r="H50" s="3"/>
    </row>
    <row r="51" ht="15.75" customHeight="1">
      <c r="H51" s="3"/>
    </row>
    <row r="52" ht="15.75" customHeight="1">
      <c r="H52" s="3"/>
    </row>
    <row r="53" ht="15.75" customHeight="1">
      <c r="H53" s="3"/>
    </row>
    <row r="54" ht="15.75" customHeight="1">
      <c r="H54" s="3"/>
    </row>
    <row r="55" ht="15.75" customHeight="1">
      <c r="H55" s="3"/>
    </row>
    <row r="56" ht="15.75" customHeight="1">
      <c r="H56" s="3"/>
    </row>
    <row r="57" ht="15.75" customHeight="1">
      <c r="H57" s="3"/>
    </row>
    <row r="58" ht="15.75" customHeight="1">
      <c r="H58" s="3"/>
    </row>
    <row r="59" ht="15.75" customHeight="1">
      <c r="H59" s="3"/>
    </row>
    <row r="60" ht="15.75" customHeight="1">
      <c r="H60" s="3"/>
    </row>
    <row r="61" ht="15.75" customHeight="1">
      <c r="H61" s="3"/>
    </row>
    <row r="62" ht="15.75" customHeight="1">
      <c r="H62" s="3"/>
    </row>
    <row r="63" ht="15.75" customHeight="1">
      <c r="H63" s="3"/>
    </row>
    <row r="64" ht="15.75" customHeight="1">
      <c r="H64" s="3"/>
    </row>
    <row r="65" ht="15.75" customHeight="1">
      <c r="H65" s="3"/>
    </row>
    <row r="66" ht="15.75" customHeight="1">
      <c r="H66" s="3"/>
    </row>
    <row r="67" ht="15.75" customHeight="1">
      <c r="H67" s="3"/>
    </row>
    <row r="68" ht="15.75" customHeight="1">
      <c r="H68" s="3"/>
    </row>
    <row r="69" ht="15.75" customHeight="1">
      <c r="H69" s="3"/>
    </row>
    <row r="70" ht="15.75" customHeight="1">
      <c r="H70" s="3"/>
    </row>
    <row r="71" ht="15.75" customHeight="1">
      <c r="H71" s="3"/>
    </row>
    <row r="72" ht="15.75" customHeight="1">
      <c r="H72" s="3"/>
    </row>
    <row r="73" ht="15.75" customHeight="1">
      <c r="H73" s="3"/>
    </row>
    <row r="74" ht="15.75" customHeight="1">
      <c r="H74" s="3"/>
    </row>
    <row r="75" ht="15.75" customHeight="1">
      <c r="H75" s="3"/>
    </row>
    <row r="76" ht="15.75" customHeight="1">
      <c r="H76" s="3"/>
    </row>
    <row r="77" ht="15.75" customHeight="1">
      <c r="H77" s="3"/>
    </row>
    <row r="78" ht="15.75" customHeight="1">
      <c r="H78" s="3"/>
    </row>
    <row r="79" ht="15.75" customHeight="1">
      <c r="H79" s="3"/>
    </row>
    <row r="80" ht="15.75" customHeight="1">
      <c r="H80" s="3"/>
    </row>
    <row r="81" ht="15.75" customHeight="1">
      <c r="H81" s="3"/>
    </row>
    <row r="82" ht="15.75" customHeight="1">
      <c r="H82" s="3"/>
    </row>
    <row r="83" ht="15.75" customHeight="1">
      <c r="H83" s="3"/>
    </row>
    <row r="84" ht="15.75" customHeight="1">
      <c r="H84" s="3"/>
    </row>
    <row r="85" ht="15.75" customHeight="1">
      <c r="H85" s="3"/>
    </row>
    <row r="86" ht="15.75" customHeight="1">
      <c r="H86" s="3"/>
    </row>
    <row r="87" ht="15.75" customHeight="1">
      <c r="H87" s="3"/>
    </row>
    <row r="88" ht="15.75" customHeight="1">
      <c r="H88" s="3"/>
    </row>
    <row r="89" ht="15.75" customHeight="1">
      <c r="H89" s="3"/>
    </row>
    <row r="90" ht="15.75" customHeight="1">
      <c r="H90" s="3"/>
    </row>
    <row r="91" ht="15.75" customHeight="1">
      <c r="H91" s="3"/>
    </row>
    <row r="92" ht="15.75" customHeight="1">
      <c r="H92" s="3"/>
    </row>
    <row r="93" ht="15.75" customHeight="1">
      <c r="H93" s="3"/>
    </row>
    <row r="94" ht="15.75" customHeight="1">
      <c r="H94" s="3"/>
    </row>
    <row r="95" ht="15.75" customHeight="1">
      <c r="H95" s="3"/>
    </row>
    <row r="96" ht="15.75" customHeight="1">
      <c r="H96" s="3"/>
    </row>
    <row r="97" ht="15.75" customHeight="1">
      <c r="H97" s="3"/>
    </row>
    <row r="98" ht="15.75" customHeight="1">
      <c r="H98" s="3"/>
    </row>
    <row r="99" ht="15.75" customHeight="1">
      <c r="H99" s="3"/>
    </row>
    <row r="100" ht="15.75" customHeight="1">
      <c r="H100" s="3"/>
    </row>
    <row r="101" ht="15.75" customHeight="1">
      <c r="H101" s="3"/>
    </row>
    <row r="102" ht="15.75" customHeight="1">
      <c r="H102" s="3"/>
    </row>
    <row r="103" ht="15.75" customHeight="1">
      <c r="H103" s="3"/>
    </row>
    <row r="104" ht="15.75" customHeight="1">
      <c r="H104" s="3"/>
    </row>
    <row r="105" ht="15.75" customHeight="1">
      <c r="H105" s="3"/>
    </row>
    <row r="106" ht="15.75" customHeight="1">
      <c r="H106" s="3"/>
    </row>
    <row r="107" ht="15.75" customHeight="1">
      <c r="H107" s="3"/>
    </row>
    <row r="108" ht="15.75" customHeight="1">
      <c r="H108" s="3"/>
    </row>
    <row r="109" ht="15.75" customHeight="1">
      <c r="H109" s="3"/>
    </row>
    <row r="110" ht="15.75" customHeight="1">
      <c r="H110" s="3"/>
    </row>
    <row r="111" ht="15.75" customHeight="1">
      <c r="H111" s="3"/>
    </row>
    <row r="112" ht="15.75" customHeight="1">
      <c r="H112" s="3"/>
    </row>
    <row r="113" ht="15.75" customHeight="1">
      <c r="H113" s="3"/>
    </row>
    <row r="114" ht="15.75" customHeight="1">
      <c r="H114" s="3"/>
    </row>
    <row r="115" ht="15.75" customHeight="1">
      <c r="H115" s="3"/>
    </row>
    <row r="116" ht="15.75" customHeight="1">
      <c r="H116" s="3"/>
    </row>
    <row r="117" ht="15.75" customHeight="1">
      <c r="H117" s="3"/>
    </row>
    <row r="118" ht="15.75" customHeight="1">
      <c r="H118" s="3"/>
    </row>
    <row r="119" ht="15.75" customHeight="1">
      <c r="H119" s="3"/>
    </row>
    <row r="120" ht="15.75" customHeight="1">
      <c r="H120" s="3"/>
    </row>
    <row r="121" ht="15.75" customHeight="1">
      <c r="H121" s="3"/>
    </row>
    <row r="122" ht="15.75" customHeight="1">
      <c r="H122" s="3"/>
    </row>
    <row r="123" ht="15.75" customHeight="1">
      <c r="H123" s="3"/>
    </row>
    <row r="124" ht="15.75" customHeight="1">
      <c r="H124" s="3"/>
    </row>
    <row r="125" ht="15.75" customHeight="1">
      <c r="H125" s="3"/>
    </row>
    <row r="126" ht="15.75" customHeight="1">
      <c r="H126" s="3"/>
    </row>
    <row r="127" ht="15.75" customHeight="1">
      <c r="H127" s="3"/>
    </row>
    <row r="128" ht="15.75" customHeight="1">
      <c r="H128" s="3"/>
    </row>
    <row r="129" ht="15.75" customHeight="1">
      <c r="H129" s="3"/>
    </row>
    <row r="130" ht="15.75" customHeight="1">
      <c r="H130" s="3"/>
    </row>
    <row r="131" ht="15.75" customHeight="1">
      <c r="H131" s="3"/>
    </row>
    <row r="132" ht="15.75" customHeight="1">
      <c r="H132" s="3"/>
    </row>
    <row r="133" ht="15.75" customHeight="1">
      <c r="H133" s="3"/>
    </row>
    <row r="134" ht="15.75" customHeight="1">
      <c r="H134" s="3"/>
    </row>
    <row r="135" ht="15.75" customHeight="1">
      <c r="H135" s="3"/>
    </row>
    <row r="136" ht="15.75" customHeight="1">
      <c r="H136" s="3"/>
    </row>
    <row r="137" ht="15.75" customHeight="1">
      <c r="H137" s="3"/>
    </row>
    <row r="138" ht="15.75" customHeight="1">
      <c r="H138" s="3"/>
    </row>
    <row r="139" ht="15.75" customHeight="1">
      <c r="H139" s="3"/>
    </row>
    <row r="140" ht="15.75" customHeight="1">
      <c r="H140" s="3"/>
    </row>
    <row r="141" ht="15.75" customHeight="1">
      <c r="H141" s="3"/>
    </row>
    <row r="142" ht="15.75" customHeight="1">
      <c r="H142" s="3"/>
    </row>
    <row r="143" ht="15.75" customHeight="1">
      <c r="H143" s="3"/>
    </row>
    <row r="144" ht="15.75" customHeight="1">
      <c r="H144" s="3"/>
    </row>
    <row r="145" ht="15.75" customHeight="1">
      <c r="H145" s="3"/>
    </row>
    <row r="146" ht="15.75" customHeight="1">
      <c r="H146" s="3"/>
    </row>
    <row r="147" ht="15.75" customHeight="1">
      <c r="H147" s="3"/>
    </row>
    <row r="148" ht="15.75" customHeight="1">
      <c r="H148" s="3"/>
    </row>
    <row r="149" ht="15.75" customHeight="1">
      <c r="H149" s="3"/>
    </row>
    <row r="150" ht="15.75" customHeight="1">
      <c r="H150" s="3"/>
    </row>
    <row r="151" ht="15.75" customHeight="1">
      <c r="H151" s="3"/>
    </row>
    <row r="152" ht="15.75" customHeight="1">
      <c r="H152" s="3"/>
    </row>
    <row r="153" ht="15.75" customHeight="1">
      <c r="H153" s="3"/>
    </row>
    <row r="154" ht="15.75" customHeight="1">
      <c r="H154" s="3"/>
    </row>
    <row r="155" ht="15.75" customHeight="1">
      <c r="H155" s="3"/>
    </row>
    <row r="156" ht="15.75" customHeight="1">
      <c r="H156" s="3"/>
    </row>
    <row r="157" ht="15.75" customHeight="1">
      <c r="H157" s="3"/>
    </row>
    <row r="158" ht="15.75" customHeight="1">
      <c r="H158" s="3"/>
    </row>
    <row r="159" ht="15.75" customHeight="1">
      <c r="H159" s="3"/>
    </row>
    <row r="160" ht="15.75" customHeight="1">
      <c r="H160" s="3"/>
    </row>
    <row r="161" ht="15.75" customHeight="1">
      <c r="H161" s="3"/>
    </row>
    <row r="162" ht="15.75" customHeight="1">
      <c r="H162" s="3"/>
    </row>
    <row r="163" ht="15.75" customHeight="1">
      <c r="H163" s="3"/>
    </row>
    <row r="164" ht="15.75" customHeight="1">
      <c r="H164" s="3"/>
    </row>
    <row r="165" ht="15.75" customHeight="1">
      <c r="H165" s="3"/>
    </row>
    <row r="166" ht="15.75" customHeight="1">
      <c r="H166" s="3"/>
    </row>
    <row r="167" ht="15.75" customHeight="1">
      <c r="H167" s="3"/>
    </row>
    <row r="168" ht="15.75" customHeight="1">
      <c r="H168" s="3"/>
    </row>
    <row r="169" ht="15.75" customHeight="1">
      <c r="H169" s="3"/>
    </row>
    <row r="170" ht="15.75" customHeight="1">
      <c r="H170" s="3"/>
    </row>
    <row r="171" ht="15.75" customHeight="1">
      <c r="H171" s="3"/>
    </row>
    <row r="172" ht="15.75" customHeight="1">
      <c r="H172" s="3"/>
    </row>
    <row r="173" ht="15.75" customHeight="1">
      <c r="H173" s="3"/>
    </row>
    <row r="174" ht="15.75" customHeight="1">
      <c r="H174" s="3"/>
    </row>
    <row r="175" ht="15.75" customHeight="1">
      <c r="H175" s="3"/>
    </row>
    <row r="176" ht="15.75" customHeight="1">
      <c r="H176" s="3"/>
    </row>
    <row r="177" ht="15.75" customHeight="1">
      <c r="H177" s="3"/>
    </row>
    <row r="178" ht="15.75" customHeight="1">
      <c r="H178" s="3"/>
    </row>
    <row r="179" ht="15.75" customHeight="1">
      <c r="H179" s="3"/>
    </row>
    <row r="180" ht="15.75" customHeight="1">
      <c r="H180" s="3"/>
    </row>
    <row r="181" ht="15.75" customHeight="1">
      <c r="H181" s="3"/>
    </row>
    <row r="182" ht="15.75" customHeight="1">
      <c r="H182" s="3"/>
    </row>
    <row r="183" ht="15.75" customHeight="1">
      <c r="H183" s="3"/>
    </row>
    <row r="184" ht="15.75" customHeight="1">
      <c r="H184" s="3"/>
    </row>
    <row r="185" ht="15.75" customHeight="1">
      <c r="H185" s="3"/>
    </row>
    <row r="186" ht="15.75" customHeight="1">
      <c r="H186" s="3"/>
    </row>
    <row r="187" ht="15.75" customHeight="1">
      <c r="H187" s="3"/>
    </row>
    <row r="188" ht="15.75" customHeight="1">
      <c r="H188" s="3"/>
    </row>
    <row r="189" ht="15.75" customHeight="1">
      <c r="H189" s="3"/>
    </row>
    <row r="190" ht="15.75" customHeight="1">
      <c r="H190" s="3"/>
    </row>
    <row r="191" ht="15.75" customHeight="1">
      <c r="H191" s="3"/>
    </row>
    <row r="192" ht="15.75" customHeight="1">
      <c r="H192" s="3"/>
    </row>
    <row r="193" ht="15.75" customHeight="1">
      <c r="H193" s="3"/>
    </row>
    <row r="194" ht="15.75" customHeight="1">
      <c r="H194" s="3"/>
    </row>
    <row r="195" ht="15.75" customHeight="1">
      <c r="H195" s="3"/>
    </row>
    <row r="196" ht="15.75" customHeight="1">
      <c r="H196" s="3"/>
    </row>
    <row r="197" ht="15.75" customHeight="1">
      <c r="H197" s="3"/>
    </row>
    <row r="198" ht="15.75" customHeight="1">
      <c r="H198" s="3"/>
    </row>
    <row r="199" ht="15.75" customHeight="1">
      <c r="H199" s="3"/>
    </row>
    <row r="200" ht="15.75" customHeight="1">
      <c r="H200" s="3"/>
    </row>
    <row r="201" ht="15.75" customHeight="1">
      <c r="H201" s="3"/>
    </row>
    <row r="202" ht="15.75" customHeight="1">
      <c r="H202" s="3"/>
    </row>
    <row r="203" ht="15.75" customHeight="1">
      <c r="H203" s="3"/>
    </row>
    <row r="204" ht="15.75" customHeight="1">
      <c r="H204" s="3"/>
    </row>
    <row r="205" ht="15.75" customHeight="1">
      <c r="H205" s="3"/>
    </row>
    <row r="206" ht="15.75" customHeight="1">
      <c r="H206" s="3"/>
    </row>
    <row r="207" ht="15.75" customHeight="1">
      <c r="H207" s="3"/>
    </row>
    <row r="208" ht="15.75" customHeight="1">
      <c r="H208" s="3"/>
    </row>
    <row r="209" ht="15.75" customHeight="1">
      <c r="H209" s="3"/>
    </row>
    <row r="210" ht="15.75" customHeight="1">
      <c r="H210" s="3"/>
    </row>
    <row r="211" ht="15.75" customHeight="1">
      <c r="H211" s="3"/>
    </row>
    <row r="212" ht="15.75" customHeight="1">
      <c r="H212" s="3"/>
    </row>
    <row r="213" ht="15.75" customHeight="1">
      <c r="H213" s="3"/>
    </row>
    <row r="214" ht="15.75" customHeight="1">
      <c r="H214" s="3"/>
    </row>
    <row r="215" ht="15.75" customHeight="1">
      <c r="H215" s="3"/>
    </row>
    <row r="216" ht="15.75" customHeight="1">
      <c r="H216" s="3"/>
    </row>
    <row r="217" ht="15.75" customHeight="1">
      <c r="H217" s="3"/>
    </row>
    <row r="218" ht="15.75" customHeight="1">
      <c r="H218" s="3"/>
    </row>
    <row r="219" ht="15.75" customHeight="1">
      <c r="H219" s="3"/>
    </row>
    <row r="220" ht="15.75" customHeight="1">
      <c r="H220" s="3"/>
    </row>
    <row r="221" ht="15.75" customHeight="1">
      <c r="H221" s="3"/>
    </row>
    <row r="222" ht="15.75" customHeight="1">
      <c r="H222" s="3"/>
    </row>
    <row r="223" ht="15.75" customHeight="1">
      <c r="H223" s="3"/>
    </row>
    <row r="224" ht="15.75" customHeight="1">
      <c r="H224" s="3"/>
    </row>
    <row r="225" ht="15.75" customHeight="1">
      <c r="H225" s="3"/>
    </row>
    <row r="226" ht="15.75" customHeight="1">
      <c r="H226" s="3"/>
    </row>
    <row r="227" ht="15.75" customHeight="1">
      <c r="H227" s="3"/>
    </row>
    <row r="228" ht="15.75" customHeight="1">
      <c r="H228" s="3"/>
    </row>
    <row r="229" ht="15.75" customHeight="1">
      <c r="H229" s="3"/>
    </row>
    <row r="230" ht="15.75" customHeight="1">
      <c r="H230" s="3"/>
    </row>
    <row r="231" ht="15.75" customHeight="1">
      <c r="H231" s="3"/>
    </row>
    <row r="232" ht="15.75" customHeight="1">
      <c r="H232" s="3"/>
    </row>
    <row r="233" ht="15.75" customHeight="1">
      <c r="H233" s="3"/>
    </row>
    <row r="234" ht="15.75" customHeight="1">
      <c r="H234" s="3"/>
    </row>
    <row r="235" ht="15.75" customHeight="1">
      <c r="H235" s="3"/>
    </row>
    <row r="236" ht="15.75" customHeight="1">
      <c r="H236" s="3"/>
    </row>
    <row r="237" ht="15.75" customHeight="1">
      <c r="H237" s="3"/>
    </row>
    <row r="238" ht="15.75" customHeight="1">
      <c r="H238" s="3"/>
    </row>
    <row r="239" ht="15.75" customHeight="1">
      <c r="H239" s="3"/>
    </row>
    <row r="240" ht="15.75" customHeight="1">
      <c r="H240" s="3"/>
    </row>
    <row r="241" ht="15.75" customHeight="1">
      <c r="H241" s="3"/>
    </row>
    <row r="242" ht="15.75" customHeight="1">
      <c r="H242" s="3"/>
    </row>
    <row r="243" ht="15.75" customHeight="1">
      <c r="H243" s="3"/>
    </row>
    <row r="244" ht="15.75" customHeight="1">
      <c r="H244" s="3"/>
    </row>
    <row r="245" ht="15.75" customHeight="1">
      <c r="H245" s="3"/>
    </row>
    <row r="246" ht="15.75" customHeight="1">
      <c r="H246" s="3"/>
    </row>
    <row r="247" ht="15.75" customHeight="1">
      <c r="H247" s="3"/>
    </row>
    <row r="248" ht="15.75" customHeight="1">
      <c r="H248" s="3"/>
    </row>
    <row r="249" ht="15.75" customHeight="1">
      <c r="H249" s="3"/>
    </row>
    <row r="250" ht="15.75" customHeight="1">
      <c r="H250" s="3"/>
    </row>
    <row r="251" ht="15.75" customHeight="1">
      <c r="H251" s="3"/>
    </row>
    <row r="252" ht="15.75" customHeight="1">
      <c r="H252" s="3"/>
    </row>
    <row r="253" ht="15.75" customHeight="1">
      <c r="H253" s="3"/>
    </row>
    <row r="254" ht="15.75" customHeight="1">
      <c r="H254" s="3"/>
    </row>
    <row r="255" ht="15.75" customHeight="1">
      <c r="H255" s="3"/>
    </row>
    <row r="256" ht="15.75" customHeight="1">
      <c r="H256" s="3"/>
    </row>
    <row r="257" ht="15.75" customHeight="1">
      <c r="H257" s="3"/>
    </row>
    <row r="258" ht="15.75" customHeight="1">
      <c r="H258" s="3"/>
    </row>
    <row r="259" ht="15.75" customHeight="1">
      <c r="H259" s="3"/>
    </row>
    <row r="260" ht="15.75" customHeight="1">
      <c r="H260" s="3"/>
    </row>
    <row r="261" ht="15.75" customHeight="1">
      <c r="H261" s="3"/>
    </row>
    <row r="262" ht="15.75" customHeight="1">
      <c r="H262" s="3"/>
    </row>
    <row r="263" ht="15.75" customHeight="1">
      <c r="H263" s="3"/>
    </row>
    <row r="264" ht="15.75" customHeight="1">
      <c r="H264" s="3"/>
    </row>
    <row r="265" ht="15.75" customHeight="1">
      <c r="H265" s="3"/>
    </row>
    <row r="266" ht="15.75" customHeight="1">
      <c r="H266" s="3"/>
    </row>
    <row r="267" ht="15.75" customHeight="1">
      <c r="H267" s="3"/>
    </row>
    <row r="268" ht="15.75" customHeight="1">
      <c r="H268" s="3"/>
    </row>
    <row r="269" ht="15.75" customHeight="1">
      <c r="H269" s="3"/>
    </row>
    <row r="270" ht="15.75" customHeight="1">
      <c r="H270" s="3"/>
    </row>
    <row r="271" ht="15.75" customHeight="1">
      <c r="H271" s="3"/>
    </row>
    <row r="272" ht="15.75" customHeight="1">
      <c r="H272" s="3"/>
    </row>
    <row r="273" ht="15.75" customHeight="1">
      <c r="H273" s="3"/>
    </row>
    <row r="274" ht="15.75" customHeight="1">
      <c r="H274" s="3"/>
    </row>
    <row r="275" ht="15.75" customHeight="1">
      <c r="H275" s="3"/>
    </row>
    <row r="276" ht="15.75" customHeight="1">
      <c r="H276" s="3"/>
    </row>
    <row r="277" ht="15.75" customHeight="1">
      <c r="H277" s="3"/>
    </row>
    <row r="278" ht="15.75" customHeight="1">
      <c r="H278" s="3"/>
    </row>
    <row r="279" ht="15.75" customHeight="1">
      <c r="H279" s="3"/>
    </row>
    <row r="280" ht="15.75" customHeight="1">
      <c r="H280" s="3"/>
    </row>
    <row r="281" ht="15.75" customHeight="1">
      <c r="H281" s="3"/>
    </row>
    <row r="282" ht="15.75" customHeight="1">
      <c r="H282" s="3"/>
    </row>
    <row r="283" ht="15.75" customHeight="1">
      <c r="H283" s="3"/>
    </row>
    <row r="284" ht="15.75" customHeight="1">
      <c r="H284" s="3"/>
    </row>
    <row r="285" ht="15.75" customHeight="1">
      <c r="H285" s="3"/>
    </row>
    <row r="286" ht="15.75" customHeight="1">
      <c r="H286" s="3"/>
    </row>
    <row r="287" ht="15.75" customHeight="1">
      <c r="H287" s="3"/>
    </row>
    <row r="288" ht="15.75" customHeight="1">
      <c r="H288" s="3"/>
    </row>
    <row r="289" ht="15.75" customHeight="1">
      <c r="H289" s="3"/>
    </row>
    <row r="290" ht="15.75" customHeight="1">
      <c r="H290" s="3"/>
    </row>
    <row r="291" ht="15.75" customHeight="1">
      <c r="H291" s="3"/>
    </row>
    <row r="292" ht="15.75" customHeight="1">
      <c r="H292" s="3"/>
    </row>
    <row r="293" ht="15.75" customHeight="1">
      <c r="H293" s="3"/>
    </row>
    <row r="294" ht="15.75" customHeight="1">
      <c r="H294" s="3"/>
    </row>
    <row r="295" ht="15.75" customHeight="1">
      <c r="H295" s="3"/>
    </row>
    <row r="296" ht="15.75" customHeight="1">
      <c r="H296" s="3"/>
    </row>
    <row r="297" ht="15.75" customHeight="1">
      <c r="H297" s="3"/>
    </row>
    <row r="298" ht="15.75" customHeight="1">
      <c r="H298" s="3"/>
    </row>
    <row r="299" ht="15.75" customHeight="1">
      <c r="H299" s="3"/>
    </row>
    <row r="300" ht="15.75" customHeight="1">
      <c r="H300" s="3"/>
    </row>
    <row r="301" ht="15.75" customHeight="1">
      <c r="H301" s="3"/>
    </row>
    <row r="302" ht="15.75" customHeight="1">
      <c r="H302" s="3"/>
    </row>
    <row r="303" ht="15.75" customHeight="1">
      <c r="H303" s="3"/>
    </row>
    <row r="304" ht="15.75" customHeight="1">
      <c r="H304" s="3"/>
    </row>
    <row r="305" ht="15.75" customHeight="1">
      <c r="H305" s="3"/>
    </row>
    <row r="306" ht="15.75" customHeight="1">
      <c r="H306" s="3"/>
    </row>
    <row r="307" ht="15.75" customHeight="1">
      <c r="H307" s="3"/>
    </row>
    <row r="308" ht="15.75" customHeight="1">
      <c r="H308" s="3"/>
    </row>
    <row r="309" ht="15.75" customHeight="1">
      <c r="H309" s="3"/>
    </row>
    <row r="310" ht="15.75" customHeight="1">
      <c r="H310" s="3"/>
    </row>
    <row r="311" ht="15.75" customHeight="1">
      <c r="H311" s="3"/>
    </row>
    <row r="312" ht="15.75" customHeight="1">
      <c r="H312" s="3"/>
    </row>
    <row r="313" ht="15.75" customHeight="1">
      <c r="H313" s="3"/>
    </row>
    <row r="314" ht="15.75" customHeight="1">
      <c r="H314" s="3"/>
    </row>
    <row r="315" ht="15.75" customHeight="1">
      <c r="H315" s="3"/>
    </row>
    <row r="316" ht="15.75" customHeight="1">
      <c r="H316" s="3"/>
    </row>
    <row r="317" ht="15.75" customHeight="1">
      <c r="H317" s="3"/>
    </row>
    <row r="318" ht="15.75" customHeight="1">
      <c r="H318" s="3"/>
    </row>
    <row r="319" ht="15.75" customHeight="1">
      <c r="H319" s="3"/>
    </row>
    <row r="320" ht="15.75" customHeight="1">
      <c r="H320" s="3"/>
    </row>
    <row r="321" ht="15.75" customHeight="1">
      <c r="H321" s="3"/>
    </row>
    <row r="322" ht="15.75" customHeight="1">
      <c r="H322" s="3"/>
    </row>
    <row r="323" ht="15.75" customHeight="1">
      <c r="H323" s="3"/>
    </row>
    <row r="324" ht="15.75" customHeight="1">
      <c r="H324" s="3"/>
    </row>
    <row r="325" ht="15.75" customHeight="1">
      <c r="H325" s="3"/>
    </row>
    <row r="326" ht="15.75" customHeight="1">
      <c r="H326" s="3"/>
    </row>
    <row r="327" ht="15.75" customHeight="1">
      <c r="H327" s="3"/>
    </row>
    <row r="328" ht="15.75" customHeight="1">
      <c r="H328" s="3"/>
    </row>
    <row r="329" ht="15.75" customHeight="1">
      <c r="H329" s="3"/>
    </row>
    <row r="330" ht="15.75" customHeight="1">
      <c r="H330" s="3"/>
    </row>
    <row r="331" ht="15.75" customHeight="1">
      <c r="H331" s="3"/>
    </row>
    <row r="332" ht="15.75" customHeight="1">
      <c r="H332" s="3"/>
    </row>
    <row r="333" ht="15.75" customHeight="1">
      <c r="H333" s="3"/>
    </row>
    <row r="334" ht="15.75" customHeight="1">
      <c r="H334" s="3"/>
    </row>
    <row r="335" ht="15.75" customHeight="1">
      <c r="H335" s="3"/>
    </row>
    <row r="336" ht="15.75" customHeight="1">
      <c r="H336" s="3"/>
    </row>
    <row r="337" ht="15.75" customHeight="1">
      <c r="H337" s="3"/>
    </row>
    <row r="338" ht="15.75" customHeight="1">
      <c r="H338" s="3"/>
    </row>
    <row r="339" ht="15.75" customHeight="1">
      <c r="H339" s="3"/>
    </row>
    <row r="340" ht="15.75" customHeight="1">
      <c r="H340" s="3"/>
    </row>
    <row r="341" ht="15.75" customHeight="1">
      <c r="H341" s="3"/>
    </row>
    <row r="342" ht="15.75" customHeight="1">
      <c r="H342" s="3"/>
    </row>
    <row r="343" ht="15.75" customHeight="1">
      <c r="H343" s="3"/>
    </row>
    <row r="344" ht="15.75" customHeight="1">
      <c r="H344" s="3"/>
    </row>
    <row r="345" ht="15.75" customHeight="1">
      <c r="H345" s="3"/>
    </row>
    <row r="346" ht="15.75" customHeight="1">
      <c r="H346" s="3"/>
    </row>
    <row r="347" ht="15.75" customHeight="1">
      <c r="H347" s="3"/>
    </row>
    <row r="348" ht="15.75" customHeight="1">
      <c r="H348" s="3"/>
    </row>
    <row r="349" ht="15.75" customHeight="1">
      <c r="H349" s="3"/>
    </row>
    <row r="350" ht="15.75" customHeight="1">
      <c r="H350" s="3"/>
    </row>
    <row r="351" ht="15.75" customHeight="1">
      <c r="H351" s="3"/>
    </row>
    <row r="352" ht="15.75" customHeight="1">
      <c r="H352" s="3"/>
    </row>
    <row r="353" ht="15.75" customHeight="1">
      <c r="H353" s="3"/>
    </row>
    <row r="354" ht="15.75" customHeight="1">
      <c r="H354" s="3"/>
    </row>
    <row r="355" ht="15.75" customHeight="1">
      <c r="H355" s="3"/>
    </row>
    <row r="356" ht="15.75" customHeight="1">
      <c r="H356" s="3"/>
    </row>
    <row r="357" ht="15.75" customHeight="1">
      <c r="H357" s="3"/>
    </row>
    <row r="358" ht="15.75" customHeight="1">
      <c r="H358" s="3"/>
    </row>
    <row r="359" ht="15.75" customHeight="1">
      <c r="H359" s="3"/>
    </row>
    <row r="360" ht="15.75" customHeight="1">
      <c r="H360" s="3"/>
    </row>
    <row r="361" ht="15.75" customHeight="1">
      <c r="H361" s="3"/>
    </row>
    <row r="362" ht="15.75" customHeight="1">
      <c r="H362" s="3"/>
    </row>
    <row r="363" ht="15.75" customHeight="1">
      <c r="H363" s="3"/>
    </row>
    <row r="364" ht="15.75" customHeight="1">
      <c r="H364" s="3"/>
    </row>
    <row r="365" ht="15.75" customHeight="1">
      <c r="H365" s="3"/>
    </row>
    <row r="366" ht="15.75" customHeight="1">
      <c r="H366" s="3"/>
    </row>
    <row r="367" ht="15.75" customHeight="1">
      <c r="H367" s="3"/>
    </row>
    <row r="368" ht="15.75" customHeight="1">
      <c r="H368" s="3"/>
    </row>
    <row r="369" ht="15.75" customHeight="1">
      <c r="H369" s="3"/>
    </row>
    <row r="370" ht="15.75" customHeight="1">
      <c r="H370" s="3"/>
    </row>
    <row r="371" ht="15.75" customHeight="1">
      <c r="H371" s="3"/>
    </row>
    <row r="372" ht="15.75" customHeight="1">
      <c r="H372" s="3"/>
    </row>
    <row r="373" ht="15.75" customHeight="1">
      <c r="H373" s="3"/>
    </row>
    <row r="374" ht="15.75" customHeight="1">
      <c r="H374" s="3"/>
    </row>
    <row r="375" ht="15.75" customHeight="1">
      <c r="H375" s="3"/>
    </row>
    <row r="376" ht="15.75" customHeight="1">
      <c r="H376" s="3"/>
    </row>
    <row r="377" ht="15.75" customHeight="1">
      <c r="H377" s="3"/>
    </row>
    <row r="378" ht="15.75" customHeight="1">
      <c r="H378" s="3"/>
    </row>
    <row r="379" ht="15.75" customHeight="1">
      <c r="H379" s="3"/>
    </row>
    <row r="380" ht="15.75" customHeight="1">
      <c r="H380" s="3"/>
    </row>
    <row r="381" ht="15.75" customHeight="1">
      <c r="H381" s="3"/>
    </row>
    <row r="382" ht="15.75" customHeight="1">
      <c r="H382" s="3"/>
    </row>
    <row r="383" ht="15.75" customHeight="1">
      <c r="H383" s="3"/>
    </row>
    <row r="384" ht="15.75" customHeight="1">
      <c r="H384" s="3"/>
    </row>
    <row r="385" ht="15.75" customHeight="1">
      <c r="H385" s="3"/>
    </row>
    <row r="386" ht="15.75" customHeight="1">
      <c r="H386" s="3"/>
    </row>
    <row r="387" ht="15.75" customHeight="1">
      <c r="H387" s="3"/>
    </row>
    <row r="388" ht="15.75" customHeight="1">
      <c r="H388" s="3"/>
    </row>
    <row r="389" ht="15.75" customHeight="1">
      <c r="H389" s="3"/>
    </row>
    <row r="390" ht="15.75" customHeight="1">
      <c r="H390" s="3"/>
    </row>
    <row r="391" ht="15.75" customHeight="1">
      <c r="H391" s="3"/>
    </row>
    <row r="392" ht="15.75" customHeight="1">
      <c r="H392" s="3"/>
    </row>
    <row r="393" ht="15.75" customHeight="1">
      <c r="H393" s="3"/>
    </row>
    <row r="394" ht="15.75" customHeight="1">
      <c r="H394" s="3"/>
    </row>
    <row r="395" ht="15.75" customHeight="1">
      <c r="H395" s="3"/>
    </row>
    <row r="396" ht="15.75" customHeight="1">
      <c r="H396" s="3"/>
    </row>
    <row r="397" ht="15.75" customHeight="1">
      <c r="H397" s="3"/>
    </row>
    <row r="398" ht="15.75" customHeight="1">
      <c r="H398" s="3"/>
    </row>
    <row r="399" ht="15.75" customHeight="1">
      <c r="H399" s="3"/>
    </row>
    <row r="400" ht="15.75" customHeight="1">
      <c r="H400" s="3"/>
    </row>
    <row r="401" ht="15.75" customHeight="1">
      <c r="H401" s="3"/>
    </row>
    <row r="402" ht="15.75" customHeight="1">
      <c r="H402" s="3"/>
    </row>
    <row r="403" ht="15.75" customHeight="1">
      <c r="H403" s="3"/>
    </row>
    <row r="404" ht="15.75" customHeight="1">
      <c r="H404" s="3"/>
    </row>
    <row r="405" ht="15.75" customHeight="1">
      <c r="H405" s="3"/>
    </row>
    <row r="406" ht="15.75" customHeight="1">
      <c r="H406" s="3"/>
    </row>
    <row r="407" ht="15.75" customHeight="1">
      <c r="H407" s="3"/>
    </row>
    <row r="408" ht="15.75" customHeight="1">
      <c r="H408" s="3"/>
    </row>
    <row r="409" ht="15.75" customHeight="1">
      <c r="H409" s="3"/>
    </row>
    <row r="410" ht="15.75" customHeight="1">
      <c r="H410" s="3"/>
    </row>
    <row r="411" ht="15.75" customHeight="1">
      <c r="H411" s="3"/>
    </row>
    <row r="412" ht="15.75" customHeight="1">
      <c r="H412" s="3"/>
    </row>
    <row r="413" ht="15.75" customHeight="1">
      <c r="H413" s="3"/>
    </row>
    <row r="414" ht="15.75" customHeight="1">
      <c r="H414" s="3"/>
    </row>
    <row r="415" ht="15.75" customHeight="1">
      <c r="H415" s="3"/>
    </row>
    <row r="416" ht="15.75" customHeight="1">
      <c r="H416" s="3"/>
    </row>
    <row r="417" ht="15.75" customHeight="1">
      <c r="H417" s="3"/>
    </row>
    <row r="418" ht="15.75" customHeight="1">
      <c r="H418" s="3"/>
    </row>
    <row r="419" ht="15.75" customHeight="1">
      <c r="H419" s="3"/>
    </row>
    <row r="420" ht="15.75" customHeight="1">
      <c r="H420" s="3"/>
    </row>
    <row r="421" ht="15.75" customHeight="1">
      <c r="H421" s="3"/>
    </row>
    <row r="422" ht="15.75" customHeight="1">
      <c r="H422" s="3"/>
    </row>
    <row r="423" ht="15.75" customHeight="1">
      <c r="H423" s="3"/>
    </row>
    <row r="424" ht="15.75" customHeight="1">
      <c r="H424" s="3"/>
    </row>
    <row r="425" ht="15.75" customHeight="1">
      <c r="H425" s="3"/>
    </row>
    <row r="426" ht="15.75" customHeight="1">
      <c r="H426" s="3"/>
    </row>
    <row r="427" ht="15.75" customHeight="1">
      <c r="H427" s="3"/>
    </row>
    <row r="428" ht="15.75" customHeight="1">
      <c r="H428" s="3"/>
    </row>
    <row r="429" ht="15.75" customHeight="1">
      <c r="H429" s="3"/>
    </row>
    <row r="430" ht="15.75" customHeight="1">
      <c r="H430" s="3"/>
    </row>
    <row r="431" ht="15.75" customHeight="1">
      <c r="H431" s="3"/>
    </row>
    <row r="432" ht="15.75" customHeight="1">
      <c r="H432" s="3"/>
    </row>
    <row r="433" ht="15.75" customHeight="1">
      <c r="H433" s="3"/>
    </row>
    <row r="434" ht="15.75" customHeight="1">
      <c r="H434" s="3"/>
    </row>
    <row r="435" ht="15.75" customHeight="1">
      <c r="H435" s="3"/>
    </row>
    <row r="436" ht="15.75" customHeight="1">
      <c r="H436" s="3"/>
    </row>
    <row r="437" ht="15.75" customHeight="1">
      <c r="H437" s="3"/>
    </row>
    <row r="438" ht="15.75" customHeight="1">
      <c r="H438" s="3"/>
    </row>
    <row r="439" ht="15.75" customHeight="1">
      <c r="H439" s="3"/>
    </row>
    <row r="440" ht="15.75" customHeight="1">
      <c r="H440" s="3"/>
    </row>
    <row r="441" ht="15.75" customHeight="1">
      <c r="H441" s="3"/>
    </row>
    <row r="442" ht="15.75" customHeight="1">
      <c r="H442" s="3"/>
    </row>
    <row r="443" ht="15.75" customHeight="1">
      <c r="H443" s="3"/>
    </row>
    <row r="444" ht="15.75" customHeight="1">
      <c r="H444" s="3"/>
    </row>
    <row r="445" ht="15.75" customHeight="1">
      <c r="H445" s="3"/>
    </row>
    <row r="446" ht="15.75" customHeight="1">
      <c r="H446" s="3"/>
    </row>
    <row r="447" ht="15.75" customHeight="1">
      <c r="H447" s="3"/>
    </row>
    <row r="448" ht="15.75" customHeight="1">
      <c r="H448" s="3"/>
    </row>
    <row r="449" ht="15.75" customHeight="1">
      <c r="H449" s="3"/>
    </row>
    <row r="450" ht="15.75" customHeight="1">
      <c r="H450" s="3"/>
    </row>
    <row r="451" ht="15.75" customHeight="1">
      <c r="H451" s="3"/>
    </row>
    <row r="452" ht="15.75" customHeight="1">
      <c r="H452" s="3"/>
    </row>
    <row r="453" ht="15.75" customHeight="1">
      <c r="H453" s="3"/>
    </row>
    <row r="454" ht="15.75" customHeight="1">
      <c r="H454" s="3"/>
    </row>
    <row r="455" ht="15.75" customHeight="1">
      <c r="H455" s="3"/>
    </row>
    <row r="456" ht="15.75" customHeight="1">
      <c r="H456" s="3"/>
    </row>
    <row r="457" ht="15.75" customHeight="1">
      <c r="H457" s="3"/>
    </row>
    <row r="458" ht="15.75" customHeight="1">
      <c r="H458" s="3"/>
    </row>
    <row r="459" ht="15.75" customHeight="1">
      <c r="H459" s="3"/>
    </row>
    <row r="460" ht="15.75" customHeight="1">
      <c r="H460" s="3"/>
    </row>
    <row r="461" ht="15.75" customHeight="1">
      <c r="H461" s="3"/>
    </row>
    <row r="462" ht="15.75" customHeight="1">
      <c r="H462" s="3"/>
    </row>
    <row r="463" ht="15.75" customHeight="1">
      <c r="H463" s="3"/>
    </row>
    <row r="464" ht="15.75" customHeight="1">
      <c r="H464" s="3"/>
    </row>
    <row r="465" ht="15.75" customHeight="1">
      <c r="H465" s="3"/>
    </row>
    <row r="466" ht="15.75" customHeight="1">
      <c r="H466" s="3"/>
    </row>
    <row r="467" ht="15.75" customHeight="1">
      <c r="H467" s="3"/>
    </row>
    <row r="468" ht="15.75" customHeight="1">
      <c r="H468" s="3"/>
    </row>
    <row r="469" ht="15.75" customHeight="1">
      <c r="H469" s="3"/>
    </row>
    <row r="470" ht="15.75" customHeight="1">
      <c r="H470" s="3"/>
    </row>
    <row r="471" ht="15.75" customHeight="1">
      <c r="H471" s="3"/>
    </row>
    <row r="472" ht="15.75" customHeight="1">
      <c r="H472" s="3"/>
    </row>
    <row r="473" ht="15.75" customHeight="1">
      <c r="H473" s="3"/>
    </row>
    <row r="474" ht="15.75" customHeight="1">
      <c r="H474" s="3"/>
    </row>
    <row r="475" ht="15.75" customHeight="1">
      <c r="H475" s="3"/>
    </row>
    <row r="476" ht="15.75" customHeight="1">
      <c r="H476" s="3"/>
    </row>
    <row r="477" ht="15.75" customHeight="1">
      <c r="H477" s="3"/>
    </row>
    <row r="478" ht="15.75" customHeight="1">
      <c r="H478" s="3"/>
    </row>
    <row r="479" ht="15.75" customHeight="1">
      <c r="H479" s="3"/>
    </row>
    <row r="480" ht="15.75" customHeight="1">
      <c r="H480" s="3"/>
    </row>
    <row r="481" ht="15.75" customHeight="1">
      <c r="H481" s="3"/>
    </row>
    <row r="482" ht="15.75" customHeight="1">
      <c r="H482" s="3"/>
    </row>
    <row r="483" ht="15.75" customHeight="1">
      <c r="H483" s="3"/>
    </row>
    <row r="484" ht="15.75" customHeight="1">
      <c r="H484" s="3"/>
    </row>
    <row r="485" ht="15.75" customHeight="1">
      <c r="H485" s="3"/>
    </row>
    <row r="486" ht="15.75" customHeight="1">
      <c r="H486" s="3"/>
    </row>
    <row r="487" ht="15.75" customHeight="1">
      <c r="H487" s="3"/>
    </row>
    <row r="488" ht="15.75" customHeight="1">
      <c r="H488" s="3"/>
    </row>
    <row r="489" ht="15.75" customHeight="1">
      <c r="H489" s="3"/>
    </row>
    <row r="490" ht="15.75" customHeight="1">
      <c r="H490" s="3"/>
    </row>
    <row r="491" ht="15.75" customHeight="1">
      <c r="H491" s="3"/>
    </row>
    <row r="492" ht="15.75" customHeight="1">
      <c r="H492" s="3"/>
    </row>
    <row r="493" ht="15.75" customHeight="1">
      <c r="H493" s="3"/>
    </row>
    <row r="494" ht="15.75" customHeight="1">
      <c r="H494" s="3"/>
    </row>
    <row r="495" ht="15.75" customHeight="1">
      <c r="H495" s="3"/>
    </row>
    <row r="496" ht="15.75" customHeight="1">
      <c r="H496" s="3"/>
    </row>
    <row r="497" ht="15.75" customHeight="1">
      <c r="H497" s="3"/>
    </row>
    <row r="498" ht="15.75" customHeight="1">
      <c r="H498" s="3"/>
    </row>
    <row r="499" ht="15.75" customHeight="1">
      <c r="H499" s="3"/>
    </row>
    <row r="500" ht="15.75" customHeight="1">
      <c r="H500" s="3"/>
    </row>
    <row r="501" ht="15.75" customHeight="1">
      <c r="H501" s="3"/>
    </row>
    <row r="502" ht="15.75" customHeight="1">
      <c r="H502" s="3"/>
    </row>
    <row r="503" ht="15.75" customHeight="1">
      <c r="H503" s="3"/>
    </row>
    <row r="504" ht="15.75" customHeight="1">
      <c r="H504" s="3"/>
    </row>
    <row r="505" ht="15.75" customHeight="1">
      <c r="H505" s="3"/>
    </row>
    <row r="506" ht="15.75" customHeight="1">
      <c r="H506" s="3"/>
    </row>
    <row r="507" ht="15.75" customHeight="1">
      <c r="H507" s="3"/>
    </row>
    <row r="508" ht="15.75" customHeight="1">
      <c r="H508" s="3"/>
    </row>
    <row r="509" ht="15.75" customHeight="1">
      <c r="H509" s="3"/>
    </row>
    <row r="510" ht="15.75" customHeight="1">
      <c r="H510" s="3"/>
    </row>
    <row r="511" ht="15.75" customHeight="1">
      <c r="H511" s="3"/>
    </row>
    <row r="512" ht="15.75" customHeight="1">
      <c r="H512" s="3"/>
    </row>
    <row r="513" ht="15.75" customHeight="1">
      <c r="H513" s="3"/>
    </row>
    <row r="514" ht="15.75" customHeight="1">
      <c r="H514" s="3"/>
    </row>
    <row r="515" ht="15.75" customHeight="1">
      <c r="H515" s="3"/>
    </row>
    <row r="516" ht="15.75" customHeight="1">
      <c r="H516" s="3"/>
    </row>
    <row r="517" ht="15.75" customHeight="1">
      <c r="H517" s="3"/>
    </row>
    <row r="518" ht="15.75" customHeight="1">
      <c r="H518" s="3"/>
    </row>
    <row r="519" ht="15.75" customHeight="1">
      <c r="H519" s="3"/>
    </row>
    <row r="520" ht="15.75" customHeight="1">
      <c r="H520" s="3"/>
    </row>
    <row r="521" ht="15.75" customHeight="1">
      <c r="H521" s="3"/>
    </row>
    <row r="522" ht="15.75" customHeight="1">
      <c r="H522" s="3"/>
    </row>
    <row r="523" ht="15.75" customHeight="1">
      <c r="H523" s="3"/>
    </row>
    <row r="524" ht="15.75" customHeight="1">
      <c r="H524" s="3"/>
    </row>
    <row r="525" ht="15.75" customHeight="1">
      <c r="H525" s="3"/>
    </row>
    <row r="526" ht="15.75" customHeight="1">
      <c r="H526" s="3"/>
    </row>
    <row r="527" ht="15.75" customHeight="1">
      <c r="H527" s="3"/>
    </row>
    <row r="528" ht="15.75" customHeight="1">
      <c r="H528" s="3"/>
    </row>
    <row r="529" ht="15.75" customHeight="1">
      <c r="H529" s="3"/>
    </row>
    <row r="530" ht="15.75" customHeight="1">
      <c r="H530" s="3"/>
    </row>
    <row r="531" ht="15.75" customHeight="1">
      <c r="H531" s="3"/>
    </row>
    <row r="532" ht="15.75" customHeight="1">
      <c r="H532" s="3"/>
    </row>
    <row r="533" ht="15.75" customHeight="1">
      <c r="H533" s="3"/>
    </row>
    <row r="534" ht="15.75" customHeight="1">
      <c r="H534" s="3"/>
    </row>
    <row r="535" ht="15.75" customHeight="1">
      <c r="H535" s="3"/>
    </row>
    <row r="536" ht="15.75" customHeight="1">
      <c r="H536" s="3"/>
    </row>
    <row r="537" ht="15.75" customHeight="1">
      <c r="H537" s="3"/>
    </row>
    <row r="538" ht="15.75" customHeight="1">
      <c r="H538" s="3"/>
    </row>
    <row r="539" ht="15.75" customHeight="1">
      <c r="H539" s="3"/>
    </row>
    <row r="540" ht="15.75" customHeight="1">
      <c r="H540" s="3"/>
    </row>
    <row r="541" ht="15.75" customHeight="1">
      <c r="H541" s="3"/>
    </row>
    <row r="542" ht="15.75" customHeight="1">
      <c r="H542" s="3"/>
    </row>
    <row r="543" ht="15.75" customHeight="1">
      <c r="H543" s="3"/>
    </row>
    <row r="544" ht="15.75" customHeight="1">
      <c r="H544" s="3"/>
    </row>
    <row r="545" ht="15.75" customHeight="1">
      <c r="H545" s="3"/>
    </row>
    <row r="546" ht="15.75" customHeight="1">
      <c r="H546" s="3"/>
    </row>
    <row r="547" ht="15.75" customHeight="1">
      <c r="H547" s="3"/>
    </row>
    <row r="548" ht="15.75" customHeight="1">
      <c r="H548" s="3"/>
    </row>
    <row r="549" ht="15.75" customHeight="1">
      <c r="H549" s="3"/>
    </row>
    <row r="550" ht="15.75" customHeight="1">
      <c r="H550" s="3"/>
    </row>
    <row r="551" ht="15.75" customHeight="1">
      <c r="H551" s="3"/>
    </row>
    <row r="552" ht="15.75" customHeight="1">
      <c r="H552" s="3"/>
    </row>
    <row r="553" ht="15.75" customHeight="1">
      <c r="H553" s="3"/>
    </row>
    <row r="554" ht="15.75" customHeight="1">
      <c r="H554" s="3"/>
    </row>
    <row r="555" ht="15.75" customHeight="1">
      <c r="H555" s="3"/>
    </row>
    <row r="556" ht="15.75" customHeight="1">
      <c r="H556" s="3"/>
    </row>
    <row r="557" ht="15.75" customHeight="1">
      <c r="H557" s="3"/>
    </row>
    <row r="558" ht="15.75" customHeight="1">
      <c r="H558" s="3"/>
    </row>
    <row r="559" ht="15.75" customHeight="1">
      <c r="H559" s="3"/>
    </row>
    <row r="560" ht="15.75" customHeight="1">
      <c r="H560" s="3"/>
    </row>
    <row r="561" ht="15.75" customHeight="1">
      <c r="H561" s="3"/>
    </row>
    <row r="562" ht="15.75" customHeight="1">
      <c r="H562" s="3"/>
    </row>
    <row r="563" ht="15.75" customHeight="1">
      <c r="H563" s="3"/>
    </row>
    <row r="564" ht="15.75" customHeight="1">
      <c r="H564" s="3"/>
    </row>
    <row r="565" ht="15.75" customHeight="1">
      <c r="H565" s="3"/>
    </row>
    <row r="566" ht="15.75" customHeight="1">
      <c r="H566" s="3"/>
    </row>
    <row r="567" ht="15.75" customHeight="1">
      <c r="H567" s="3"/>
    </row>
    <row r="568" ht="15.75" customHeight="1">
      <c r="H568" s="3"/>
    </row>
    <row r="569" ht="15.75" customHeight="1">
      <c r="H569" s="3"/>
    </row>
    <row r="570" ht="15.75" customHeight="1">
      <c r="H570" s="3"/>
    </row>
    <row r="571" ht="15.75" customHeight="1">
      <c r="H571" s="3"/>
    </row>
    <row r="572" ht="15.75" customHeight="1">
      <c r="H572" s="3"/>
    </row>
    <row r="573" ht="15.75" customHeight="1">
      <c r="H573" s="3"/>
    </row>
    <row r="574" ht="15.75" customHeight="1">
      <c r="H574" s="3"/>
    </row>
    <row r="575" ht="15.75" customHeight="1">
      <c r="H575" s="3"/>
    </row>
    <row r="576" ht="15.75" customHeight="1">
      <c r="H576" s="3"/>
    </row>
    <row r="577" ht="15.75" customHeight="1">
      <c r="H577" s="3"/>
    </row>
    <row r="578" ht="15.75" customHeight="1">
      <c r="H578" s="3"/>
    </row>
    <row r="579" ht="15.75" customHeight="1">
      <c r="H579" s="3"/>
    </row>
    <row r="580" ht="15.75" customHeight="1">
      <c r="H580" s="3"/>
    </row>
    <row r="581" ht="15.75" customHeight="1">
      <c r="H581" s="3"/>
    </row>
    <row r="582" ht="15.75" customHeight="1">
      <c r="H582" s="3"/>
    </row>
    <row r="583" ht="15.75" customHeight="1">
      <c r="H583" s="3"/>
    </row>
    <row r="584" ht="15.75" customHeight="1">
      <c r="H584" s="3"/>
    </row>
    <row r="585" ht="15.75" customHeight="1">
      <c r="H585" s="3"/>
    </row>
    <row r="586" ht="15.75" customHeight="1">
      <c r="H586" s="3"/>
    </row>
    <row r="587" ht="15.75" customHeight="1">
      <c r="H587" s="3"/>
    </row>
    <row r="588" ht="15.75" customHeight="1">
      <c r="H588" s="3"/>
    </row>
    <row r="589" ht="15.75" customHeight="1">
      <c r="H589" s="3"/>
    </row>
    <row r="590" ht="15.75" customHeight="1">
      <c r="H590" s="3"/>
    </row>
    <row r="591" ht="15.75" customHeight="1">
      <c r="H591" s="3"/>
    </row>
    <row r="592" ht="15.75" customHeight="1">
      <c r="H592" s="3"/>
    </row>
    <row r="593" ht="15.75" customHeight="1">
      <c r="H593" s="3"/>
    </row>
    <row r="594" ht="15.75" customHeight="1">
      <c r="H594" s="3"/>
    </row>
    <row r="595" ht="15.75" customHeight="1">
      <c r="H595" s="3"/>
    </row>
    <row r="596" ht="15.75" customHeight="1">
      <c r="H596" s="3"/>
    </row>
    <row r="597" ht="15.75" customHeight="1">
      <c r="H597" s="3"/>
    </row>
    <row r="598" ht="15.75" customHeight="1">
      <c r="H598" s="3"/>
    </row>
    <row r="599" ht="15.75" customHeight="1">
      <c r="H599" s="3"/>
    </row>
    <row r="600" ht="15.75" customHeight="1">
      <c r="H600" s="3"/>
    </row>
    <row r="601" ht="15.75" customHeight="1">
      <c r="H601" s="3"/>
    </row>
    <row r="602" ht="15.75" customHeight="1">
      <c r="H602" s="3"/>
    </row>
    <row r="603" ht="15.75" customHeight="1">
      <c r="H603" s="3"/>
    </row>
    <row r="604" ht="15.75" customHeight="1">
      <c r="H604" s="3"/>
    </row>
    <row r="605" ht="15.75" customHeight="1">
      <c r="H605" s="3"/>
    </row>
    <row r="606" ht="15.75" customHeight="1">
      <c r="H606" s="3"/>
    </row>
    <row r="607" ht="15.75" customHeight="1">
      <c r="H607" s="3"/>
    </row>
    <row r="608" ht="15.75" customHeight="1">
      <c r="H608" s="3"/>
    </row>
    <row r="609" ht="15.75" customHeight="1">
      <c r="H609" s="3"/>
    </row>
    <row r="610" ht="15.75" customHeight="1">
      <c r="H610" s="3"/>
    </row>
    <row r="611" ht="15.75" customHeight="1">
      <c r="H611" s="3"/>
    </row>
    <row r="612" ht="15.75" customHeight="1">
      <c r="H612" s="3"/>
    </row>
    <row r="613" ht="15.75" customHeight="1">
      <c r="H613" s="3"/>
    </row>
    <row r="614" ht="15.75" customHeight="1">
      <c r="H614" s="3"/>
    </row>
    <row r="615" ht="15.75" customHeight="1">
      <c r="H615" s="3"/>
    </row>
    <row r="616" ht="15.75" customHeight="1">
      <c r="H616" s="3"/>
    </row>
    <row r="617" ht="15.75" customHeight="1">
      <c r="H617" s="3"/>
    </row>
    <row r="618" ht="15.75" customHeight="1">
      <c r="H618" s="3"/>
    </row>
    <row r="619" ht="15.75" customHeight="1">
      <c r="H619" s="3"/>
    </row>
    <row r="620" ht="15.75" customHeight="1">
      <c r="H620" s="3"/>
    </row>
    <row r="621" ht="15.75" customHeight="1">
      <c r="H621" s="3"/>
    </row>
    <row r="622" ht="15.75" customHeight="1">
      <c r="H622" s="3"/>
    </row>
    <row r="623" ht="15.75" customHeight="1">
      <c r="H623" s="3"/>
    </row>
    <row r="624" ht="15.75" customHeight="1">
      <c r="H624" s="3"/>
    </row>
    <row r="625" ht="15.75" customHeight="1">
      <c r="H625" s="3"/>
    </row>
    <row r="626" ht="15.75" customHeight="1">
      <c r="H626" s="3"/>
    </row>
    <row r="627" ht="15.75" customHeight="1">
      <c r="H627" s="3"/>
    </row>
    <row r="628" ht="15.75" customHeight="1">
      <c r="H628" s="3"/>
    </row>
    <row r="629" ht="15.75" customHeight="1">
      <c r="H629" s="3"/>
    </row>
    <row r="630" ht="15.75" customHeight="1">
      <c r="H630" s="3"/>
    </row>
    <row r="631" ht="15.75" customHeight="1">
      <c r="H631" s="3"/>
    </row>
    <row r="632" ht="15.75" customHeight="1">
      <c r="H632" s="3"/>
    </row>
    <row r="633" ht="15.75" customHeight="1">
      <c r="H633" s="3"/>
    </row>
    <row r="634" ht="15.75" customHeight="1">
      <c r="H634" s="3"/>
    </row>
    <row r="635" ht="15.75" customHeight="1">
      <c r="H635" s="3"/>
    </row>
    <row r="636" ht="15.75" customHeight="1">
      <c r="H636" s="3"/>
    </row>
    <row r="637" ht="15.75" customHeight="1">
      <c r="H637" s="3"/>
    </row>
    <row r="638" ht="15.75" customHeight="1">
      <c r="H638" s="3"/>
    </row>
    <row r="639" ht="15.75" customHeight="1">
      <c r="H639" s="3"/>
    </row>
    <row r="640" ht="15.75" customHeight="1">
      <c r="H640" s="3"/>
    </row>
    <row r="641" ht="15.75" customHeight="1">
      <c r="H641" s="3"/>
    </row>
    <row r="642" ht="15.75" customHeight="1">
      <c r="H642" s="3"/>
    </row>
    <row r="643" ht="15.75" customHeight="1">
      <c r="H643" s="3"/>
    </row>
    <row r="644" ht="15.75" customHeight="1">
      <c r="H644" s="3"/>
    </row>
    <row r="645" ht="15.75" customHeight="1">
      <c r="H645" s="3"/>
    </row>
    <row r="646" ht="15.75" customHeight="1">
      <c r="H646" s="3"/>
    </row>
    <row r="647" ht="15.75" customHeight="1">
      <c r="H647" s="3"/>
    </row>
    <row r="648" ht="15.75" customHeight="1">
      <c r="H648" s="3"/>
    </row>
    <row r="649" ht="15.75" customHeight="1">
      <c r="H649" s="3"/>
    </row>
    <row r="650" ht="15.75" customHeight="1">
      <c r="H650" s="3"/>
    </row>
    <row r="651" ht="15.75" customHeight="1">
      <c r="H651" s="3"/>
    </row>
    <row r="652" ht="15.75" customHeight="1">
      <c r="H652" s="3"/>
    </row>
    <row r="653" ht="15.75" customHeight="1">
      <c r="H653" s="3"/>
    </row>
    <row r="654" ht="15.75" customHeight="1">
      <c r="H654" s="3"/>
    </row>
    <row r="655" ht="15.75" customHeight="1">
      <c r="H655" s="3"/>
    </row>
    <row r="656" ht="15.75" customHeight="1">
      <c r="H656" s="3"/>
    </row>
    <row r="657" ht="15.75" customHeight="1">
      <c r="H657" s="3"/>
    </row>
    <row r="658" ht="15.75" customHeight="1">
      <c r="H658" s="3"/>
    </row>
    <row r="659" ht="15.75" customHeight="1">
      <c r="H659" s="3"/>
    </row>
    <row r="660" ht="15.75" customHeight="1">
      <c r="H660" s="3"/>
    </row>
    <row r="661" ht="15.75" customHeight="1">
      <c r="H661" s="3"/>
    </row>
    <row r="662" ht="15.75" customHeight="1">
      <c r="H662" s="3"/>
    </row>
    <row r="663" ht="15.75" customHeight="1">
      <c r="H663" s="3"/>
    </row>
    <row r="664" ht="15.75" customHeight="1">
      <c r="H664" s="3"/>
    </row>
    <row r="665" ht="15.75" customHeight="1">
      <c r="H665" s="3"/>
    </row>
    <row r="666" ht="15.75" customHeight="1">
      <c r="H666" s="3"/>
    </row>
    <row r="667" ht="15.75" customHeight="1">
      <c r="H667" s="3"/>
    </row>
    <row r="668" ht="15.75" customHeight="1">
      <c r="H668" s="3"/>
    </row>
    <row r="669" ht="15.75" customHeight="1">
      <c r="H669" s="3"/>
    </row>
    <row r="670" ht="15.75" customHeight="1">
      <c r="H670" s="3"/>
    </row>
    <row r="671" ht="15.75" customHeight="1">
      <c r="H671" s="3"/>
    </row>
    <row r="672" ht="15.75" customHeight="1">
      <c r="H672" s="3"/>
    </row>
    <row r="673" ht="15.75" customHeight="1">
      <c r="H673" s="3"/>
    </row>
    <row r="674" ht="15.75" customHeight="1">
      <c r="H674" s="3"/>
    </row>
    <row r="675" ht="15.75" customHeight="1">
      <c r="H675" s="3"/>
    </row>
    <row r="676" ht="15.75" customHeight="1">
      <c r="H676" s="3"/>
    </row>
    <row r="677" ht="15.75" customHeight="1">
      <c r="H677" s="3"/>
    </row>
    <row r="678" ht="15.75" customHeight="1">
      <c r="H678" s="3"/>
    </row>
    <row r="679" ht="15.75" customHeight="1">
      <c r="H679" s="3"/>
    </row>
    <row r="680" ht="15.75" customHeight="1">
      <c r="H680" s="3"/>
    </row>
    <row r="681" ht="15.75" customHeight="1">
      <c r="H681" s="3"/>
    </row>
    <row r="682" ht="15.75" customHeight="1">
      <c r="H682" s="3"/>
    </row>
    <row r="683" ht="15.75" customHeight="1">
      <c r="H683" s="3"/>
    </row>
    <row r="684" ht="15.75" customHeight="1">
      <c r="H684" s="3"/>
    </row>
    <row r="685" ht="15.75" customHeight="1">
      <c r="H685" s="3"/>
    </row>
    <row r="686" ht="15.75" customHeight="1">
      <c r="H686" s="3"/>
    </row>
    <row r="687" ht="15.75" customHeight="1">
      <c r="H687" s="3"/>
    </row>
    <row r="688" ht="15.75" customHeight="1">
      <c r="H688" s="3"/>
    </row>
    <row r="689" ht="15.75" customHeight="1">
      <c r="H689" s="3"/>
    </row>
    <row r="690" ht="15.75" customHeight="1">
      <c r="H690" s="3"/>
    </row>
    <row r="691" ht="15.75" customHeight="1">
      <c r="H691" s="3"/>
    </row>
    <row r="692" ht="15.75" customHeight="1">
      <c r="H692" s="3"/>
    </row>
    <row r="693" ht="15.75" customHeight="1">
      <c r="H693" s="3"/>
    </row>
    <row r="694" ht="15.75" customHeight="1">
      <c r="H694" s="3"/>
    </row>
    <row r="695" ht="15.75" customHeight="1">
      <c r="H695" s="3"/>
    </row>
    <row r="696" ht="15.75" customHeight="1">
      <c r="H696" s="3"/>
    </row>
    <row r="697" ht="15.75" customHeight="1">
      <c r="H697" s="3"/>
    </row>
    <row r="698" ht="15.75" customHeight="1">
      <c r="H698" s="3"/>
    </row>
    <row r="699" ht="15.75" customHeight="1">
      <c r="H699" s="3"/>
    </row>
    <row r="700" ht="15.75" customHeight="1">
      <c r="H700" s="3"/>
    </row>
    <row r="701" ht="15.75" customHeight="1">
      <c r="H701" s="3"/>
    </row>
    <row r="702" ht="15.75" customHeight="1">
      <c r="H702" s="3"/>
    </row>
    <row r="703" ht="15.75" customHeight="1">
      <c r="H703" s="3"/>
    </row>
    <row r="704" ht="15.75" customHeight="1">
      <c r="H704" s="3"/>
    </row>
    <row r="705" ht="15.75" customHeight="1">
      <c r="H705" s="3"/>
    </row>
    <row r="706" ht="15.75" customHeight="1">
      <c r="H706" s="3"/>
    </row>
    <row r="707" ht="15.75" customHeight="1">
      <c r="H707" s="3"/>
    </row>
    <row r="708" ht="15.75" customHeight="1">
      <c r="H708" s="3"/>
    </row>
    <row r="709" ht="15.75" customHeight="1">
      <c r="H709" s="3"/>
    </row>
    <row r="710" ht="15.75" customHeight="1">
      <c r="H710" s="3"/>
    </row>
    <row r="711" ht="15.75" customHeight="1">
      <c r="H711" s="3"/>
    </row>
    <row r="712" ht="15.75" customHeight="1">
      <c r="H712" s="3"/>
    </row>
    <row r="713" ht="15.75" customHeight="1">
      <c r="H713" s="3"/>
    </row>
    <row r="714" ht="15.75" customHeight="1">
      <c r="H714" s="3"/>
    </row>
    <row r="715" ht="15.75" customHeight="1">
      <c r="H715" s="3"/>
    </row>
    <row r="716" ht="15.75" customHeight="1">
      <c r="H716" s="3"/>
    </row>
    <row r="717" ht="15.75" customHeight="1">
      <c r="H717" s="3"/>
    </row>
    <row r="718" ht="15.75" customHeight="1">
      <c r="H718" s="3"/>
    </row>
    <row r="719" ht="15.75" customHeight="1">
      <c r="H719" s="3"/>
    </row>
    <row r="720" ht="15.75" customHeight="1">
      <c r="H720" s="3"/>
    </row>
    <row r="721" ht="15.75" customHeight="1">
      <c r="H721" s="3"/>
    </row>
    <row r="722" ht="15.75" customHeight="1">
      <c r="H722" s="3"/>
    </row>
    <row r="723" ht="15.75" customHeight="1">
      <c r="H723" s="3"/>
    </row>
    <row r="724" ht="15.75" customHeight="1">
      <c r="H724" s="3"/>
    </row>
    <row r="725" ht="15.75" customHeight="1">
      <c r="H725" s="3"/>
    </row>
    <row r="726" ht="15.75" customHeight="1">
      <c r="H726" s="3"/>
    </row>
    <row r="727" ht="15.75" customHeight="1">
      <c r="H727" s="3"/>
    </row>
    <row r="728" ht="15.75" customHeight="1">
      <c r="H728" s="3"/>
    </row>
    <row r="729" ht="15.75" customHeight="1">
      <c r="H729" s="3"/>
    </row>
    <row r="730" ht="15.75" customHeight="1">
      <c r="H730" s="3"/>
    </row>
    <row r="731" ht="15.75" customHeight="1">
      <c r="H731" s="3"/>
    </row>
    <row r="732" ht="15.75" customHeight="1">
      <c r="H732" s="3"/>
    </row>
    <row r="733" ht="15.75" customHeight="1">
      <c r="H733" s="3"/>
    </row>
    <row r="734" ht="15.75" customHeight="1">
      <c r="H734" s="3"/>
    </row>
    <row r="735" ht="15.75" customHeight="1">
      <c r="H735" s="3"/>
    </row>
    <row r="736" ht="15.75" customHeight="1">
      <c r="H736" s="3"/>
    </row>
    <row r="737" ht="15.75" customHeight="1">
      <c r="H737" s="3"/>
    </row>
    <row r="738" ht="15.75" customHeight="1">
      <c r="H738" s="3"/>
    </row>
    <row r="739" ht="15.75" customHeight="1">
      <c r="H739" s="3"/>
    </row>
    <row r="740" ht="15.75" customHeight="1">
      <c r="H740" s="3"/>
    </row>
    <row r="741" ht="15.75" customHeight="1">
      <c r="H741" s="3"/>
    </row>
    <row r="742" ht="15.75" customHeight="1">
      <c r="H742" s="3"/>
    </row>
    <row r="743" ht="15.75" customHeight="1">
      <c r="H743" s="3"/>
    </row>
    <row r="744" ht="15.75" customHeight="1">
      <c r="H744" s="3"/>
    </row>
    <row r="745" ht="15.75" customHeight="1">
      <c r="H745" s="3"/>
    </row>
    <row r="746" ht="15.75" customHeight="1">
      <c r="H746" s="3"/>
    </row>
    <row r="747" ht="15.75" customHeight="1">
      <c r="H747" s="3"/>
    </row>
    <row r="748" ht="15.75" customHeight="1">
      <c r="H748" s="3"/>
    </row>
    <row r="749" ht="15.75" customHeight="1">
      <c r="H749" s="3"/>
    </row>
    <row r="750" ht="15.75" customHeight="1">
      <c r="H750" s="3"/>
    </row>
    <row r="751" ht="15.75" customHeight="1">
      <c r="H751" s="3"/>
    </row>
    <row r="752" ht="15.75" customHeight="1">
      <c r="H752" s="3"/>
    </row>
    <row r="753" ht="15.75" customHeight="1">
      <c r="H753" s="3"/>
    </row>
    <row r="754" ht="15.75" customHeight="1">
      <c r="H754" s="3"/>
    </row>
    <row r="755" ht="15.75" customHeight="1">
      <c r="H755" s="3"/>
    </row>
    <row r="756" ht="15.75" customHeight="1">
      <c r="H756" s="3"/>
    </row>
    <row r="757" ht="15.75" customHeight="1">
      <c r="H757" s="3"/>
    </row>
    <row r="758" ht="15.75" customHeight="1">
      <c r="H758" s="3"/>
    </row>
    <row r="759" ht="15.75" customHeight="1">
      <c r="H759" s="3"/>
    </row>
    <row r="760" ht="15.75" customHeight="1">
      <c r="H760" s="3"/>
    </row>
    <row r="761" ht="15.75" customHeight="1">
      <c r="H761" s="3"/>
    </row>
    <row r="762" ht="15.75" customHeight="1">
      <c r="H762" s="3"/>
    </row>
    <row r="763" ht="15.75" customHeight="1">
      <c r="H763" s="3"/>
    </row>
    <row r="764" ht="15.75" customHeight="1">
      <c r="H764" s="3"/>
    </row>
    <row r="765" ht="15.75" customHeight="1">
      <c r="H765" s="3"/>
    </row>
    <row r="766" ht="15.75" customHeight="1">
      <c r="H766" s="3"/>
    </row>
    <row r="767" ht="15.75" customHeight="1">
      <c r="H767" s="3"/>
    </row>
    <row r="768" ht="15.75" customHeight="1">
      <c r="H768" s="3"/>
    </row>
    <row r="769" ht="15.75" customHeight="1">
      <c r="H769" s="3"/>
    </row>
    <row r="770" ht="15.75" customHeight="1">
      <c r="H770" s="3"/>
    </row>
    <row r="771" ht="15.75" customHeight="1">
      <c r="H771" s="3"/>
    </row>
    <row r="772" ht="15.75" customHeight="1">
      <c r="H772" s="3"/>
    </row>
    <row r="773" ht="15.75" customHeight="1">
      <c r="H773" s="3"/>
    </row>
    <row r="774" ht="15.75" customHeight="1">
      <c r="H774" s="3"/>
    </row>
    <row r="775" ht="15.75" customHeight="1">
      <c r="H775" s="3"/>
    </row>
    <row r="776" ht="15.75" customHeight="1">
      <c r="H776" s="3"/>
    </row>
    <row r="777" ht="15.75" customHeight="1">
      <c r="H777" s="3"/>
    </row>
    <row r="778" ht="15.75" customHeight="1">
      <c r="H778" s="3"/>
    </row>
    <row r="779" ht="15.75" customHeight="1">
      <c r="H779" s="3"/>
    </row>
    <row r="780" ht="15.75" customHeight="1">
      <c r="H780" s="3"/>
    </row>
    <row r="781" ht="15.75" customHeight="1">
      <c r="H781" s="3"/>
    </row>
    <row r="782" ht="15.75" customHeight="1">
      <c r="H782" s="3"/>
    </row>
    <row r="783" ht="15.75" customHeight="1">
      <c r="H783" s="3"/>
    </row>
    <row r="784" ht="15.75" customHeight="1">
      <c r="H784" s="3"/>
    </row>
    <row r="785" ht="15.75" customHeight="1">
      <c r="H785" s="3"/>
    </row>
    <row r="786" ht="15.75" customHeight="1">
      <c r="H786" s="3"/>
    </row>
    <row r="787" ht="15.75" customHeight="1">
      <c r="H787" s="3"/>
    </row>
    <row r="788" ht="15.75" customHeight="1">
      <c r="H788" s="3"/>
    </row>
    <row r="789" ht="15.75" customHeight="1">
      <c r="H789" s="3"/>
    </row>
    <row r="790" ht="15.75" customHeight="1">
      <c r="H790" s="3"/>
    </row>
    <row r="791" ht="15.75" customHeight="1">
      <c r="H791" s="3"/>
    </row>
    <row r="792" ht="15.75" customHeight="1">
      <c r="H792" s="3"/>
    </row>
    <row r="793" ht="15.75" customHeight="1">
      <c r="H793" s="3"/>
    </row>
    <row r="794" ht="15.75" customHeight="1">
      <c r="H794" s="3"/>
    </row>
    <row r="795" ht="15.75" customHeight="1">
      <c r="H795" s="3"/>
    </row>
    <row r="796" ht="15.75" customHeight="1">
      <c r="H796" s="3"/>
    </row>
    <row r="797" ht="15.75" customHeight="1">
      <c r="H797" s="3"/>
    </row>
    <row r="798" ht="15.75" customHeight="1">
      <c r="H798" s="3"/>
    </row>
    <row r="799" ht="15.75" customHeight="1">
      <c r="H799" s="3"/>
    </row>
    <row r="800" ht="15.75" customHeight="1">
      <c r="H800" s="3"/>
    </row>
    <row r="801" ht="15.75" customHeight="1">
      <c r="H801" s="3"/>
    </row>
    <row r="802" ht="15.75" customHeight="1">
      <c r="H802" s="3"/>
    </row>
    <row r="803" ht="15.75" customHeight="1">
      <c r="H803" s="3"/>
    </row>
    <row r="804" ht="15.75" customHeight="1">
      <c r="H804" s="3"/>
    </row>
    <row r="805" ht="15.75" customHeight="1">
      <c r="H805" s="3"/>
    </row>
    <row r="806" ht="15.75" customHeight="1">
      <c r="H806" s="3"/>
    </row>
    <row r="807" ht="15.75" customHeight="1">
      <c r="H807" s="3"/>
    </row>
    <row r="808" ht="15.75" customHeight="1">
      <c r="H808" s="3"/>
    </row>
    <row r="809" ht="15.75" customHeight="1">
      <c r="H809" s="3"/>
    </row>
    <row r="810" ht="15.75" customHeight="1">
      <c r="H810" s="3"/>
    </row>
    <row r="811" ht="15.75" customHeight="1">
      <c r="H811" s="3"/>
    </row>
    <row r="812" ht="15.75" customHeight="1">
      <c r="H812" s="3"/>
    </row>
    <row r="813" ht="15.75" customHeight="1">
      <c r="H813" s="3"/>
    </row>
    <row r="814" ht="15.75" customHeight="1">
      <c r="H814" s="3"/>
    </row>
    <row r="815" ht="15.75" customHeight="1">
      <c r="H815" s="3"/>
    </row>
    <row r="816" ht="15.75" customHeight="1">
      <c r="H816" s="3"/>
    </row>
    <row r="817" ht="15.75" customHeight="1">
      <c r="H817" s="3"/>
    </row>
    <row r="818" ht="15.75" customHeight="1">
      <c r="H818" s="3"/>
    </row>
    <row r="819" ht="15.75" customHeight="1">
      <c r="H819" s="3"/>
    </row>
    <row r="820" ht="15.75" customHeight="1">
      <c r="H820" s="3"/>
    </row>
    <row r="821" ht="15.75" customHeight="1">
      <c r="H821" s="3"/>
    </row>
    <row r="822" ht="15.75" customHeight="1">
      <c r="H822" s="3"/>
    </row>
    <row r="823" ht="15.75" customHeight="1">
      <c r="H823" s="3"/>
    </row>
    <row r="824" ht="15.75" customHeight="1">
      <c r="H824" s="3"/>
    </row>
    <row r="825" ht="15.75" customHeight="1">
      <c r="H825" s="3"/>
    </row>
    <row r="826" ht="15.75" customHeight="1">
      <c r="H826" s="3"/>
    </row>
    <row r="827" ht="15.75" customHeight="1">
      <c r="H827" s="3"/>
    </row>
    <row r="828" ht="15.75" customHeight="1">
      <c r="H828" s="3"/>
    </row>
    <row r="829" ht="15.75" customHeight="1">
      <c r="H829" s="3"/>
    </row>
    <row r="830" ht="15.75" customHeight="1">
      <c r="H830" s="3"/>
    </row>
    <row r="831" ht="15.75" customHeight="1">
      <c r="H831" s="3"/>
    </row>
    <row r="832" ht="15.75" customHeight="1">
      <c r="H832" s="3"/>
    </row>
    <row r="833" ht="15.75" customHeight="1">
      <c r="H833" s="3"/>
    </row>
    <row r="834" ht="15.75" customHeight="1">
      <c r="H834" s="3"/>
    </row>
    <row r="835" ht="15.75" customHeight="1">
      <c r="H835" s="3"/>
    </row>
    <row r="836" ht="15.75" customHeight="1">
      <c r="H836" s="3"/>
    </row>
    <row r="837" ht="15.75" customHeight="1">
      <c r="H837" s="3"/>
    </row>
    <row r="838" ht="15.75" customHeight="1">
      <c r="H838" s="3"/>
    </row>
    <row r="839" ht="15.75" customHeight="1">
      <c r="H839" s="3"/>
    </row>
    <row r="840" ht="15.75" customHeight="1">
      <c r="H840" s="3"/>
    </row>
    <row r="841" ht="15.75" customHeight="1">
      <c r="H841" s="3"/>
    </row>
    <row r="842" ht="15.75" customHeight="1">
      <c r="H842" s="3"/>
    </row>
    <row r="843" ht="15.75" customHeight="1">
      <c r="H843" s="3"/>
    </row>
    <row r="844" ht="15.75" customHeight="1">
      <c r="H844" s="3"/>
    </row>
    <row r="845" ht="15.75" customHeight="1">
      <c r="H845" s="3"/>
    </row>
    <row r="846" ht="15.75" customHeight="1">
      <c r="H846" s="3"/>
    </row>
    <row r="847" ht="15.75" customHeight="1">
      <c r="H847" s="3"/>
    </row>
    <row r="848" ht="15.75" customHeight="1">
      <c r="H848" s="3"/>
    </row>
    <row r="849" ht="15.75" customHeight="1">
      <c r="H849" s="3"/>
    </row>
    <row r="850" ht="15.75" customHeight="1">
      <c r="H850" s="3"/>
    </row>
    <row r="851" ht="15.75" customHeight="1">
      <c r="H851" s="3"/>
    </row>
    <row r="852" ht="15.75" customHeight="1">
      <c r="H852" s="3"/>
    </row>
    <row r="853" ht="15.75" customHeight="1">
      <c r="H853" s="3"/>
    </row>
    <row r="854" ht="15.75" customHeight="1">
      <c r="H854" s="3"/>
    </row>
    <row r="855" ht="15.75" customHeight="1">
      <c r="H855" s="3"/>
    </row>
    <row r="856" ht="15.75" customHeight="1">
      <c r="H856" s="3"/>
    </row>
    <row r="857" ht="15.75" customHeight="1">
      <c r="H857" s="3"/>
    </row>
    <row r="858" ht="15.75" customHeight="1">
      <c r="H858" s="3"/>
    </row>
    <row r="859" ht="15.75" customHeight="1">
      <c r="H859" s="3"/>
    </row>
    <row r="860" ht="15.75" customHeight="1">
      <c r="H860" s="3"/>
    </row>
    <row r="861" ht="15.75" customHeight="1">
      <c r="H861" s="3"/>
    </row>
    <row r="862" ht="15.75" customHeight="1">
      <c r="H862" s="3"/>
    </row>
    <row r="863" ht="15.75" customHeight="1">
      <c r="H863" s="3"/>
    </row>
    <row r="864" ht="15.75" customHeight="1">
      <c r="H864" s="3"/>
    </row>
    <row r="865" ht="15.75" customHeight="1">
      <c r="H865" s="3"/>
    </row>
    <row r="866" ht="15.75" customHeight="1">
      <c r="H866" s="3"/>
    </row>
    <row r="867" ht="15.75" customHeight="1">
      <c r="H867" s="3"/>
    </row>
    <row r="868" ht="15.75" customHeight="1">
      <c r="H868" s="3"/>
    </row>
    <row r="869" ht="15.75" customHeight="1">
      <c r="H869" s="3"/>
    </row>
    <row r="870" ht="15.75" customHeight="1">
      <c r="H870" s="3"/>
    </row>
    <row r="871" ht="15.75" customHeight="1">
      <c r="H871" s="3"/>
    </row>
    <row r="872" ht="15.75" customHeight="1">
      <c r="H872" s="3"/>
    </row>
    <row r="873" ht="15.75" customHeight="1">
      <c r="H873" s="3"/>
    </row>
    <row r="874" ht="15.75" customHeight="1">
      <c r="H874" s="3"/>
    </row>
    <row r="875" ht="15.75" customHeight="1">
      <c r="H875" s="3"/>
    </row>
    <row r="876" ht="15.75" customHeight="1">
      <c r="H876" s="3"/>
    </row>
    <row r="877" ht="15.75" customHeight="1">
      <c r="H877" s="3"/>
    </row>
    <row r="878" ht="15.75" customHeight="1">
      <c r="H878" s="3"/>
    </row>
    <row r="879" ht="15.75" customHeight="1">
      <c r="H879" s="3"/>
    </row>
    <row r="880" ht="15.75" customHeight="1">
      <c r="H880" s="3"/>
    </row>
    <row r="881" ht="15.75" customHeight="1">
      <c r="H881" s="3"/>
    </row>
    <row r="882" ht="15.75" customHeight="1">
      <c r="H882" s="3"/>
    </row>
    <row r="883" ht="15.75" customHeight="1">
      <c r="H883" s="3"/>
    </row>
    <row r="884" ht="15.75" customHeight="1">
      <c r="H884" s="3"/>
    </row>
    <row r="885" ht="15.75" customHeight="1">
      <c r="H885" s="3"/>
    </row>
    <row r="886" ht="15.75" customHeight="1">
      <c r="H886" s="3"/>
    </row>
    <row r="887" ht="15.75" customHeight="1">
      <c r="H887" s="3"/>
    </row>
    <row r="888" ht="15.75" customHeight="1">
      <c r="H888" s="3"/>
    </row>
    <row r="889" ht="15.75" customHeight="1">
      <c r="H889" s="3"/>
    </row>
    <row r="890" ht="15.75" customHeight="1">
      <c r="H890" s="3"/>
    </row>
    <row r="891" ht="15.75" customHeight="1">
      <c r="H891" s="3"/>
    </row>
    <row r="892" ht="15.75" customHeight="1">
      <c r="H892" s="3"/>
    </row>
    <row r="893" ht="15.75" customHeight="1">
      <c r="H893" s="3"/>
    </row>
    <row r="894" ht="15.75" customHeight="1">
      <c r="H894" s="3"/>
    </row>
    <row r="895" ht="15.75" customHeight="1">
      <c r="H895" s="3"/>
    </row>
    <row r="896" ht="15.75" customHeight="1">
      <c r="H896" s="3"/>
    </row>
    <row r="897" ht="15.75" customHeight="1">
      <c r="H897" s="3"/>
    </row>
    <row r="898" ht="15.75" customHeight="1">
      <c r="H898" s="3"/>
    </row>
    <row r="899" ht="15.75" customHeight="1">
      <c r="H899" s="3"/>
    </row>
    <row r="900" ht="15.75" customHeight="1">
      <c r="H900" s="3"/>
    </row>
    <row r="901" ht="15.75" customHeight="1">
      <c r="H901" s="3"/>
    </row>
    <row r="902" ht="15.75" customHeight="1">
      <c r="H902" s="3"/>
    </row>
    <row r="903" ht="15.75" customHeight="1">
      <c r="H903" s="3"/>
    </row>
    <row r="904" ht="15.75" customHeight="1">
      <c r="H904" s="3"/>
    </row>
    <row r="905" ht="15.75" customHeight="1">
      <c r="H905" s="3"/>
    </row>
    <row r="906" ht="15.75" customHeight="1">
      <c r="H906" s="3"/>
    </row>
    <row r="907" ht="15.75" customHeight="1">
      <c r="H907" s="3"/>
    </row>
    <row r="908" ht="15.75" customHeight="1">
      <c r="H908" s="3"/>
    </row>
    <row r="909" ht="15.75" customHeight="1">
      <c r="H909" s="3"/>
    </row>
    <row r="910" ht="15.75" customHeight="1">
      <c r="H910" s="3"/>
    </row>
    <row r="911" ht="15.75" customHeight="1">
      <c r="H911" s="3"/>
    </row>
    <row r="912" ht="15.75" customHeight="1">
      <c r="H912" s="3"/>
    </row>
    <row r="913" ht="15.75" customHeight="1">
      <c r="H913" s="3"/>
    </row>
    <row r="914" ht="15.75" customHeight="1">
      <c r="H914" s="3"/>
    </row>
    <row r="915" ht="15.75" customHeight="1">
      <c r="H915" s="3"/>
    </row>
    <row r="916" ht="15.75" customHeight="1">
      <c r="H916" s="3"/>
    </row>
    <row r="917" ht="15.75" customHeight="1">
      <c r="H917" s="3"/>
    </row>
    <row r="918" ht="15.75" customHeight="1">
      <c r="H918" s="3"/>
    </row>
    <row r="919" ht="15.75" customHeight="1">
      <c r="H919" s="3"/>
    </row>
    <row r="920" ht="15.75" customHeight="1">
      <c r="H920" s="3"/>
    </row>
    <row r="921" ht="15.75" customHeight="1">
      <c r="H921" s="3"/>
    </row>
    <row r="922" ht="15.75" customHeight="1">
      <c r="H922" s="3"/>
    </row>
    <row r="923" ht="15.75" customHeight="1">
      <c r="H923" s="3"/>
    </row>
    <row r="924" ht="15.75" customHeight="1">
      <c r="H924" s="3"/>
    </row>
    <row r="925" ht="15.75" customHeight="1">
      <c r="H925" s="3"/>
    </row>
    <row r="926" ht="15.75" customHeight="1">
      <c r="H926" s="3"/>
    </row>
    <row r="927" ht="15.75" customHeight="1">
      <c r="H927" s="3"/>
    </row>
    <row r="928" ht="15.75" customHeight="1">
      <c r="H928" s="3"/>
    </row>
    <row r="929" ht="15.75" customHeight="1">
      <c r="H929" s="3"/>
    </row>
    <row r="930" ht="15.75" customHeight="1">
      <c r="H930" s="3"/>
    </row>
    <row r="931" ht="15.75" customHeight="1">
      <c r="H931" s="3"/>
    </row>
    <row r="932" ht="15.75" customHeight="1">
      <c r="H932" s="3"/>
    </row>
    <row r="933" ht="15.75" customHeight="1">
      <c r="H933" s="3"/>
    </row>
    <row r="934" ht="15.75" customHeight="1">
      <c r="H934" s="3"/>
    </row>
    <row r="935" ht="15.75" customHeight="1">
      <c r="H935" s="3"/>
    </row>
    <row r="936" ht="15.75" customHeight="1">
      <c r="H936" s="3"/>
    </row>
    <row r="937" ht="15.75" customHeight="1">
      <c r="H937" s="3"/>
    </row>
    <row r="938" ht="15.75" customHeight="1">
      <c r="H938" s="3"/>
    </row>
    <row r="939" ht="15.75" customHeight="1">
      <c r="H939" s="3"/>
    </row>
    <row r="940" ht="15.75" customHeight="1">
      <c r="H940" s="3"/>
    </row>
    <row r="941" ht="15.75" customHeight="1">
      <c r="H941" s="3"/>
    </row>
    <row r="942" ht="15.75" customHeight="1">
      <c r="H942" s="3"/>
    </row>
    <row r="943" ht="15.75" customHeight="1">
      <c r="H943" s="3"/>
    </row>
    <row r="944" ht="15.75" customHeight="1">
      <c r="H944" s="3"/>
    </row>
    <row r="945" ht="15.75" customHeight="1">
      <c r="H945" s="3"/>
    </row>
    <row r="946" ht="15.75" customHeight="1">
      <c r="H946" s="3"/>
    </row>
    <row r="947" ht="15.75" customHeight="1">
      <c r="H947" s="3"/>
    </row>
    <row r="948" ht="15.75" customHeight="1">
      <c r="H948" s="3"/>
    </row>
    <row r="949" ht="15.75" customHeight="1">
      <c r="H949" s="3"/>
    </row>
    <row r="950" ht="15.75" customHeight="1">
      <c r="H950" s="3"/>
    </row>
    <row r="951" ht="15.75" customHeight="1">
      <c r="H951" s="3"/>
    </row>
    <row r="952" ht="15.75" customHeight="1">
      <c r="H952" s="3"/>
    </row>
    <row r="953" ht="15.75" customHeight="1">
      <c r="H953" s="3"/>
    </row>
    <row r="954" ht="15.75" customHeight="1">
      <c r="H954" s="3"/>
    </row>
    <row r="955" ht="15.75" customHeight="1">
      <c r="H955" s="3"/>
    </row>
    <row r="956" ht="15.75" customHeight="1">
      <c r="H956" s="3"/>
    </row>
    <row r="957" ht="15.75" customHeight="1">
      <c r="H957" s="3"/>
    </row>
    <row r="958" ht="15.75" customHeight="1">
      <c r="H958" s="3"/>
    </row>
    <row r="959" ht="15.75" customHeight="1">
      <c r="H959" s="3"/>
    </row>
    <row r="960" ht="15.75" customHeight="1">
      <c r="H960" s="3"/>
    </row>
    <row r="961" ht="15.75" customHeight="1">
      <c r="H961" s="3"/>
    </row>
    <row r="962" ht="15.75" customHeight="1">
      <c r="H962" s="3"/>
    </row>
    <row r="963" ht="15.75" customHeight="1">
      <c r="H963" s="3"/>
    </row>
    <row r="964" ht="15.75" customHeight="1">
      <c r="H964" s="3"/>
    </row>
    <row r="965" ht="15.75" customHeight="1">
      <c r="H965" s="3"/>
    </row>
    <row r="966" ht="15.75" customHeight="1">
      <c r="H966" s="3"/>
    </row>
    <row r="967" ht="15.75" customHeight="1">
      <c r="H967" s="3"/>
    </row>
    <row r="968" ht="15.75" customHeight="1">
      <c r="H968" s="3"/>
    </row>
    <row r="969" ht="15.75" customHeight="1">
      <c r="H969" s="3"/>
    </row>
    <row r="970" ht="15.75" customHeight="1">
      <c r="H970" s="3"/>
    </row>
    <row r="971" ht="15.75" customHeight="1">
      <c r="H971" s="3"/>
    </row>
    <row r="972" ht="15.75" customHeight="1">
      <c r="H972" s="3"/>
    </row>
    <row r="973" ht="15.75" customHeight="1">
      <c r="H973" s="3"/>
    </row>
    <row r="974" ht="15.75" customHeight="1">
      <c r="H974" s="3"/>
    </row>
    <row r="975" ht="15.75" customHeight="1">
      <c r="H975" s="3"/>
    </row>
    <row r="976" ht="15.75" customHeight="1">
      <c r="H976" s="3"/>
    </row>
    <row r="977" ht="15.75" customHeight="1">
      <c r="H977" s="3"/>
    </row>
    <row r="978" ht="15.75" customHeight="1">
      <c r="H978" s="3"/>
    </row>
    <row r="979" ht="15.75" customHeight="1">
      <c r="H979" s="3"/>
    </row>
    <row r="980" ht="15.75" customHeight="1">
      <c r="H980" s="3"/>
    </row>
    <row r="981" ht="15.75" customHeight="1">
      <c r="H981" s="3"/>
    </row>
    <row r="982" ht="15.75" customHeight="1">
      <c r="H982" s="3"/>
    </row>
    <row r="983" ht="15.75" customHeight="1">
      <c r="H983" s="3"/>
    </row>
    <row r="984" ht="15.75" customHeight="1">
      <c r="H984" s="3"/>
    </row>
    <row r="985" ht="15.75" customHeight="1">
      <c r="H985" s="3"/>
    </row>
    <row r="986" ht="15.75" customHeight="1">
      <c r="H986" s="3"/>
    </row>
    <row r="987" ht="15.75" customHeight="1">
      <c r="H987" s="3"/>
    </row>
    <row r="988" ht="15.75" customHeight="1">
      <c r="H988" s="3"/>
    </row>
    <row r="989" ht="15.75" customHeight="1">
      <c r="H989" s="3"/>
    </row>
    <row r="990" ht="15.75" customHeight="1">
      <c r="H990" s="3"/>
    </row>
    <row r="991" ht="15.75" customHeight="1">
      <c r="H991" s="3"/>
    </row>
    <row r="992" ht="15.75" customHeight="1">
      <c r="H992" s="3"/>
    </row>
    <row r="993" ht="15.75" customHeight="1">
      <c r="H993" s="3"/>
    </row>
    <row r="994" ht="15.75" customHeight="1">
      <c r="H994" s="3"/>
    </row>
    <row r="995" ht="15.75" customHeight="1">
      <c r="H995" s="3"/>
    </row>
    <row r="996" ht="15.75" customHeight="1">
      <c r="H996" s="3"/>
    </row>
    <row r="997" ht="15.75" customHeight="1">
      <c r="H997" s="3"/>
    </row>
    <row r="998" ht="15.75" customHeight="1">
      <c r="H998" s="3"/>
    </row>
    <row r="999" ht="15.75" customHeight="1">
      <c r="H999" s="3"/>
    </row>
    <row r="1000" ht="15.75" customHeight="1">
      <c r="H1000" s="3"/>
    </row>
  </sheetData>
  <autoFilter ref="$A$1:$C$29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10.75"/>
    <col customWidth="1" hidden="1" min="3" max="4" width="7.75"/>
    <col customWidth="1" min="5" max="5" width="26.25"/>
    <col customWidth="1" min="6" max="6" width="15.75"/>
    <col customWidth="1" hidden="1" min="7" max="7" width="9.63"/>
    <col customWidth="1" min="8" max="8" width="12.63"/>
    <col customWidth="1" min="9" max="9" width="45.88"/>
    <col customWidth="1" min="10" max="10" width="26.25"/>
    <col customWidth="1" min="11" max="11" width="26.0"/>
    <col customWidth="1" min="12" max="12" width="17.88"/>
    <col customWidth="1" min="13" max="13" width="10.75"/>
    <col customWidth="1" min="14" max="26" width="26.25"/>
  </cols>
  <sheetData>
    <row r="1">
      <c r="A1" s="4" t="s">
        <v>22</v>
      </c>
      <c r="B1" s="15" t="s">
        <v>23</v>
      </c>
      <c r="C1" s="15" t="s">
        <v>24</v>
      </c>
      <c r="D1" s="15"/>
      <c r="E1" s="15" t="s">
        <v>25</v>
      </c>
      <c r="F1" s="15" t="s">
        <v>26</v>
      </c>
      <c r="G1" s="15" t="s">
        <v>27</v>
      </c>
      <c r="H1" s="16" t="s">
        <v>6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  <c r="N1" s="15" t="s">
        <v>33</v>
      </c>
      <c r="O1" s="15" t="s">
        <v>34</v>
      </c>
      <c r="P1" s="15" t="s">
        <v>35</v>
      </c>
    </row>
    <row r="2" ht="60.0" customHeight="1">
      <c r="A2" s="4" t="s">
        <v>36</v>
      </c>
      <c r="B2" s="17" t="s">
        <v>37</v>
      </c>
      <c r="C2" s="17"/>
      <c r="D2" s="17"/>
      <c r="E2" s="17" t="s">
        <v>38</v>
      </c>
      <c r="F2" s="17" t="s">
        <v>39</v>
      </c>
      <c r="G2" s="17" t="s">
        <v>40</v>
      </c>
      <c r="H2" s="18">
        <v>1.0</v>
      </c>
      <c r="I2" s="17" t="s">
        <v>41</v>
      </c>
      <c r="J2" s="17" t="s">
        <v>38</v>
      </c>
      <c r="K2" s="17" t="s">
        <v>42</v>
      </c>
      <c r="L2" s="17" t="s">
        <v>43</v>
      </c>
      <c r="M2" s="17" t="s">
        <v>44</v>
      </c>
      <c r="N2" s="17" t="s">
        <v>45</v>
      </c>
      <c r="O2" s="17" t="s">
        <v>46</v>
      </c>
      <c r="P2" s="17" t="s">
        <v>47</v>
      </c>
    </row>
    <row r="3" ht="60.0" customHeight="1">
      <c r="A3" s="4" t="s">
        <v>36</v>
      </c>
      <c r="B3" s="20" t="s">
        <v>37</v>
      </c>
      <c r="C3" s="20" t="s">
        <v>36</v>
      </c>
      <c r="D3" s="20"/>
      <c r="E3" s="20" t="s">
        <v>38</v>
      </c>
      <c r="F3" s="20" t="s">
        <v>39</v>
      </c>
      <c r="G3" s="20" t="s">
        <v>40</v>
      </c>
      <c r="H3" s="21">
        <v>1.0</v>
      </c>
      <c r="I3" s="20" t="s">
        <v>48</v>
      </c>
      <c r="J3" s="20" t="s">
        <v>38</v>
      </c>
      <c r="K3" s="20" t="s">
        <v>42</v>
      </c>
      <c r="L3" s="20" t="s">
        <v>43</v>
      </c>
      <c r="M3" s="20" t="s">
        <v>44</v>
      </c>
      <c r="N3" s="20" t="s">
        <v>45</v>
      </c>
      <c r="O3" s="20" t="s">
        <v>49</v>
      </c>
      <c r="P3" s="20" t="s">
        <v>47</v>
      </c>
    </row>
    <row r="4" ht="60.0" customHeight="1">
      <c r="A4" s="4" t="s">
        <v>36</v>
      </c>
      <c r="B4" s="17" t="s">
        <v>37</v>
      </c>
      <c r="C4" s="17" t="s">
        <v>36</v>
      </c>
      <c r="D4" s="17"/>
      <c r="E4" s="17" t="s">
        <v>38</v>
      </c>
      <c r="F4" s="17" t="s">
        <v>39</v>
      </c>
      <c r="G4" s="17" t="s">
        <v>40</v>
      </c>
      <c r="H4" s="18">
        <v>1.0</v>
      </c>
      <c r="I4" s="17" t="s">
        <v>50</v>
      </c>
      <c r="J4" s="17" t="s">
        <v>38</v>
      </c>
      <c r="K4" s="17" t="s">
        <v>42</v>
      </c>
      <c r="L4" s="17" t="s">
        <v>43</v>
      </c>
      <c r="M4" s="17" t="s">
        <v>44</v>
      </c>
      <c r="N4" s="17" t="s">
        <v>45</v>
      </c>
      <c r="O4" s="17" t="s">
        <v>51</v>
      </c>
      <c r="P4" s="17" t="s">
        <v>47</v>
      </c>
    </row>
    <row r="5" ht="60.0" customHeight="1">
      <c r="A5" s="4" t="s">
        <v>36</v>
      </c>
      <c r="B5" s="20" t="s">
        <v>37</v>
      </c>
      <c r="C5" s="20" t="s">
        <v>36</v>
      </c>
      <c r="D5" s="20"/>
      <c r="E5" s="20" t="s">
        <v>38</v>
      </c>
      <c r="F5" s="20" t="s">
        <v>39</v>
      </c>
      <c r="G5" s="20" t="s">
        <v>40</v>
      </c>
      <c r="H5" s="21">
        <v>1.0</v>
      </c>
      <c r="I5" s="20" t="s">
        <v>52</v>
      </c>
      <c r="J5" s="20" t="s">
        <v>38</v>
      </c>
      <c r="K5" s="20" t="s">
        <v>42</v>
      </c>
      <c r="L5" s="20" t="s">
        <v>43</v>
      </c>
      <c r="M5" s="20" t="s">
        <v>44</v>
      </c>
      <c r="N5" s="20" t="s">
        <v>45</v>
      </c>
      <c r="O5" s="20" t="s">
        <v>53</v>
      </c>
      <c r="P5" s="20" t="s">
        <v>47</v>
      </c>
    </row>
    <row r="6" ht="60.0" customHeight="1">
      <c r="A6" s="4" t="s">
        <v>36</v>
      </c>
      <c r="B6" s="20" t="s">
        <v>83</v>
      </c>
      <c r="C6" s="20" t="s">
        <v>55</v>
      </c>
      <c r="D6" s="20"/>
      <c r="E6" s="20" t="s">
        <v>84</v>
      </c>
      <c r="F6" s="20" t="s">
        <v>39</v>
      </c>
      <c r="G6" s="20" t="s">
        <v>40</v>
      </c>
      <c r="H6" s="21">
        <v>7.01</v>
      </c>
      <c r="I6" s="20" t="s">
        <v>85</v>
      </c>
      <c r="J6" s="20" t="s">
        <v>84</v>
      </c>
      <c r="K6" s="20" t="s">
        <v>86</v>
      </c>
      <c r="L6" s="20" t="s">
        <v>87</v>
      </c>
      <c r="M6" s="20" t="s">
        <v>88</v>
      </c>
      <c r="N6" s="20" t="s">
        <v>45</v>
      </c>
      <c r="O6" s="20" t="s">
        <v>89</v>
      </c>
      <c r="P6" s="20" t="s">
        <v>90</v>
      </c>
    </row>
    <row r="7" ht="60.0" customHeight="1">
      <c r="A7" s="4" t="s">
        <v>36</v>
      </c>
      <c r="B7" s="17" t="s">
        <v>134</v>
      </c>
      <c r="C7" s="17" t="s">
        <v>55</v>
      </c>
      <c r="D7" s="17"/>
      <c r="E7" s="17" t="s">
        <v>84</v>
      </c>
      <c r="F7" s="17" t="s">
        <v>39</v>
      </c>
      <c r="G7" s="17" t="s">
        <v>40</v>
      </c>
      <c r="H7" s="18">
        <v>14.02</v>
      </c>
      <c r="I7" s="17" t="s">
        <v>135</v>
      </c>
      <c r="J7" s="17" t="s">
        <v>84</v>
      </c>
      <c r="K7" s="17" t="s">
        <v>86</v>
      </c>
      <c r="L7" s="17" t="s">
        <v>87</v>
      </c>
      <c r="M7" s="17" t="s">
        <v>88</v>
      </c>
      <c r="N7" s="17" t="s">
        <v>45</v>
      </c>
      <c r="O7" s="17" t="s">
        <v>136</v>
      </c>
      <c r="P7" s="17" t="s">
        <v>90</v>
      </c>
    </row>
    <row r="8" ht="60.0" customHeight="1">
      <c r="A8" s="4" t="s">
        <v>36</v>
      </c>
      <c r="B8" s="17" t="s">
        <v>156</v>
      </c>
      <c r="C8" s="17" t="s">
        <v>55</v>
      </c>
      <c r="D8" s="17"/>
      <c r="E8" s="17" t="s">
        <v>157</v>
      </c>
      <c r="F8" s="17" t="s">
        <v>39</v>
      </c>
      <c r="G8" s="17" t="s">
        <v>40</v>
      </c>
      <c r="H8" s="18">
        <v>18.94</v>
      </c>
      <c r="I8" s="17" t="s">
        <v>158</v>
      </c>
      <c r="J8" s="17" t="s">
        <v>159</v>
      </c>
      <c r="K8" s="17" t="s">
        <v>86</v>
      </c>
      <c r="L8" s="17" t="s">
        <v>87</v>
      </c>
      <c r="M8" s="17" t="s">
        <v>88</v>
      </c>
      <c r="N8" s="17" t="s">
        <v>45</v>
      </c>
      <c r="O8" s="17" t="s">
        <v>160</v>
      </c>
      <c r="P8" s="17" t="s">
        <v>90</v>
      </c>
    </row>
    <row r="9" ht="60.0" customHeight="1">
      <c r="A9" s="4" t="s">
        <v>168</v>
      </c>
      <c r="B9" s="20" t="s">
        <v>196</v>
      </c>
      <c r="C9" s="20" t="s">
        <v>55</v>
      </c>
      <c r="D9" s="20"/>
      <c r="E9" s="20" t="s">
        <v>197</v>
      </c>
      <c r="F9" s="20" t="s">
        <v>39</v>
      </c>
      <c r="G9" s="20" t="s">
        <v>40</v>
      </c>
      <c r="H9" s="21">
        <v>34.29</v>
      </c>
      <c r="I9" s="20" t="s">
        <v>198</v>
      </c>
      <c r="J9" s="20" t="s">
        <v>197</v>
      </c>
      <c r="K9" s="20" t="s">
        <v>199</v>
      </c>
      <c r="L9" s="20" t="s">
        <v>200</v>
      </c>
      <c r="M9" s="20" t="s">
        <v>201</v>
      </c>
      <c r="N9" s="20" t="s">
        <v>45</v>
      </c>
      <c r="O9" s="20" t="s">
        <v>202</v>
      </c>
      <c r="P9" s="20" t="s">
        <v>64</v>
      </c>
    </row>
    <row r="10" ht="60.0" customHeight="1">
      <c r="A10" s="4" t="s">
        <v>36</v>
      </c>
      <c r="B10" s="17" t="s">
        <v>196</v>
      </c>
      <c r="C10" s="17" t="s">
        <v>55</v>
      </c>
      <c r="D10" s="17"/>
      <c r="E10" s="17" t="s">
        <v>84</v>
      </c>
      <c r="F10" s="17" t="s">
        <v>39</v>
      </c>
      <c r="G10" s="17" t="s">
        <v>40</v>
      </c>
      <c r="H10" s="18">
        <v>83.89</v>
      </c>
      <c r="I10" s="17" t="s">
        <v>269</v>
      </c>
      <c r="J10" s="17" t="s">
        <v>84</v>
      </c>
      <c r="K10" s="17" t="s">
        <v>86</v>
      </c>
      <c r="L10" s="17" t="s">
        <v>87</v>
      </c>
      <c r="M10" s="17" t="s">
        <v>88</v>
      </c>
      <c r="N10" s="17" t="s">
        <v>45</v>
      </c>
      <c r="O10" s="17" t="s">
        <v>270</v>
      </c>
      <c r="P10" s="17" t="s">
        <v>90</v>
      </c>
    </row>
    <row r="11" ht="60.0" customHeight="1">
      <c r="A11" s="22" t="s">
        <v>36</v>
      </c>
      <c r="B11" s="17" t="s">
        <v>239</v>
      </c>
      <c r="C11" s="17" t="s">
        <v>55</v>
      </c>
      <c r="D11" s="17"/>
      <c r="E11" s="17" t="s">
        <v>323</v>
      </c>
      <c r="F11" s="17" t="s">
        <v>39</v>
      </c>
      <c r="G11" s="17" t="s">
        <v>40</v>
      </c>
      <c r="H11" s="18">
        <v>109.65</v>
      </c>
      <c r="I11" s="17" t="s">
        <v>324</v>
      </c>
      <c r="J11" s="17" t="s">
        <v>323</v>
      </c>
      <c r="K11" s="17" t="s">
        <v>325</v>
      </c>
      <c r="L11" s="17" t="s">
        <v>326</v>
      </c>
      <c r="M11" s="17" t="s">
        <v>327</v>
      </c>
      <c r="N11" s="17" t="s">
        <v>45</v>
      </c>
      <c r="O11" s="17" t="s">
        <v>328</v>
      </c>
      <c r="P11" s="17" t="s">
        <v>308</v>
      </c>
    </row>
    <row r="12" ht="60.0" customHeight="1">
      <c r="A12" s="22" t="s">
        <v>36</v>
      </c>
      <c r="B12" s="20" t="s">
        <v>239</v>
      </c>
      <c r="C12" s="20" t="s">
        <v>55</v>
      </c>
      <c r="D12" s="20"/>
      <c r="E12" s="20" t="s">
        <v>323</v>
      </c>
      <c r="F12" s="20" t="s">
        <v>39</v>
      </c>
      <c r="G12" s="20" t="s">
        <v>40</v>
      </c>
      <c r="H12" s="21">
        <v>109.65</v>
      </c>
      <c r="I12" s="20" t="s">
        <v>324</v>
      </c>
      <c r="J12" s="20" t="s">
        <v>323</v>
      </c>
      <c r="K12" s="20" t="s">
        <v>325</v>
      </c>
      <c r="L12" s="20" t="s">
        <v>326</v>
      </c>
      <c r="M12" s="20" t="s">
        <v>327</v>
      </c>
      <c r="N12" s="20" t="s">
        <v>45</v>
      </c>
      <c r="O12" s="20" t="s">
        <v>329</v>
      </c>
      <c r="P12" s="20" t="s">
        <v>308</v>
      </c>
    </row>
    <row r="13" ht="60.0" customHeight="1">
      <c r="A13" s="22" t="s">
        <v>36</v>
      </c>
      <c r="B13" s="17" t="s">
        <v>239</v>
      </c>
      <c r="C13" s="17" t="s">
        <v>55</v>
      </c>
      <c r="D13" s="17"/>
      <c r="E13" s="17" t="s">
        <v>323</v>
      </c>
      <c r="F13" s="17" t="s">
        <v>39</v>
      </c>
      <c r="G13" s="17" t="s">
        <v>40</v>
      </c>
      <c r="H13" s="18">
        <v>109.65</v>
      </c>
      <c r="I13" s="17" t="s">
        <v>324</v>
      </c>
      <c r="J13" s="17" t="s">
        <v>323</v>
      </c>
      <c r="K13" s="17" t="s">
        <v>325</v>
      </c>
      <c r="L13" s="17" t="s">
        <v>326</v>
      </c>
      <c r="M13" s="17" t="s">
        <v>327</v>
      </c>
      <c r="N13" s="17" t="s">
        <v>45</v>
      </c>
      <c r="O13" s="17" t="s">
        <v>330</v>
      </c>
      <c r="P13" s="17" t="s">
        <v>308</v>
      </c>
    </row>
    <row r="14" ht="60.0" customHeight="1">
      <c r="A14" s="22" t="s">
        <v>36</v>
      </c>
      <c r="B14" s="20" t="s">
        <v>239</v>
      </c>
      <c r="C14" s="20" t="s">
        <v>55</v>
      </c>
      <c r="D14" s="20"/>
      <c r="E14" s="20" t="s">
        <v>323</v>
      </c>
      <c r="F14" s="20" t="s">
        <v>39</v>
      </c>
      <c r="G14" s="20" t="s">
        <v>40</v>
      </c>
      <c r="H14" s="21">
        <v>109.65</v>
      </c>
      <c r="I14" s="20" t="s">
        <v>324</v>
      </c>
      <c r="J14" s="20" t="s">
        <v>323</v>
      </c>
      <c r="K14" s="20" t="s">
        <v>325</v>
      </c>
      <c r="L14" s="20" t="s">
        <v>326</v>
      </c>
      <c r="M14" s="20" t="s">
        <v>327</v>
      </c>
      <c r="N14" s="20" t="s">
        <v>45</v>
      </c>
      <c r="O14" s="20" t="s">
        <v>331</v>
      </c>
      <c r="P14" s="20" t="s">
        <v>308</v>
      </c>
    </row>
    <row r="15" ht="60.0" customHeight="1">
      <c r="A15" s="22" t="s">
        <v>36</v>
      </c>
      <c r="B15" s="17" t="s">
        <v>239</v>
      </c>
      <c r="C15" s="17" t="s">
        <v>55</v>
      </c>
      <c r="D15" s="17"/>
      <c r="E15" s="17" t="s">
        <v>323</v>
      </c>
      <c r="F15" s="17" t="s">
        <v>39</v>
      </c>
      <c r="G15" s="17" t="s">
        <v>40</v>
      </c>
      <c r="H15" s="18">
        <v>109.65</v>
      </c>
      <c r="I15" s="17" t="s">
        <v>324</v>
      </c>
      <c r="J15" s="17" t="s">
        <v>323</v>
      </c>
      <c r="K15" s="17" t="s">
        <v>325</v>
      </c>
      <c r="L15" s="17" t="s">
        <v>326</v>
      </c>
      <c r="M15" s="17" t="s">
        <v>327</v>
      </c>
      <c r="N15" s="17" t="s">
        <v>45</v>
      </c>
      <c r="O15" s="17" t="s">
        <v>332</v>
      </c>
      <c r="P15" s="17" t="s">
        <v>308</v>
      </c>
    </row>
    <row r="16" ht="60.0" customHeight="1">
      <c r="A16" s="22" t="s">
        <v>36</v>
      </c>
      <c r="B16" s="20" t="s">
        <v>239</v>
      </c>
      <c r="C16" s="20" t="s">
        <v>55</v>
      </c>
      <c r="D16" s="20"/>
      <c r="E16" s="20" t="s">
        <v>323</v>
      </c>
      <c r="F16" s="20" t="s">
        <v>39</v>
      </c>
      <c r="G16" s="20" t="s">
        <v>40</v>
      </c>
      <c r="H16" s="21">
        <v>109.65</v>
      </c>
      <c r="I16" s="20" t="s">
        <v>324</v>
      </c>
      <c r="J16" s="20" t="s">
        <v>323</v>
      </c>
      <c r="K16" s="20" t="s">
        <v>325</v>
      </c>
      <c r="L16" s="20" t="s">
        <v>326</v>
      </c>
      <c r="M16" s="20" t="s">
        <v>327</v>
      </c>
      <c r="N16" s="20" t="s">
        <v>45</v>
      </c>
      <c r="O16" s="20" t="s">
        <v>333</v>
      </c>
      <c r="P16" s="20" t="s">
        <v>308</v>
      </c>
    </row>
    <row r="17" ht="60.0" customHeight="1">
      <c r="A17" s="4" t="s">
        <v>168</v>
      </c>
      <c r="B17" s="17" t="s">
        <v>367</v>
      </c>
      <c r="C17" s="17" t="s">
        <v>55</v>
      </c>
      <c r="D17" s="17"/>
      <c r="E17" s="17" t="s">
        <v>368</v>
      </c>
      <c r="F17" s="17" t="s">
        <v>39</v>
      </c>
      <c r="G17" s="17" t="s">
        <v>40</v>
      </c>
      <c r="H17" s="18">
        <v>152.61</v>
      </c>
      <c r="I17" s="17" t="s">
        <v>369</v>
      </c>
      <c r="J17" s="17" t="s">
        <v>368</v>
      </c>
      <c r="K17" s="17" t="s">
        <v>370</v>
      </c>
      <c r="L17" s="17" t="s">
        <v>371</v>
      </c>
      <c r="M17" s="17" t="s">
        <v>372</v>
      </c>
      <c r="N17" s="17" t="s">
        <v>45</v>
      </c>
      <c r="O17" s="17" t="s">
        <v>373</v>
      </c>
      <c r="P17" s="17" t="s">
        <v>182</v>
      </c>
    </row>
    <row r="18" ht="60.0" customHeight="1">
      <c r="A18" s="4" t="s">
        <v>168</v>
      </c>
      <c r="B18" s="20" t="s">
        <v>183</v>
      </c>
      <c r="C18" s="20" t="s">
        <v>55</v>
      </c>
      <c r="D18" s="20"/>
      <c r="E18" s="20" t="s">
        <v>418</v>
      </c>
      <c r="F18" s="20" t="s">
        <v>39</v>
      </c>
      <c r="G18" s="20" t="s">
        <v>40</v>
      </c>
      <c r="H18" s="21">
        <v>229.46</v>
      </c>
      <c r="I18" s="20" t="s">
        <v>419</v>
      </c>
      <c r="J18" s="20" t="s">
        <v>418</v>
      </c>
      <c r="K18" s="20" t="s">
        <v>420</v>
      </c>
      <c r="L18" s="20" t="s">
        <v>43</v>
      </c>
      <c r="M18" s="20" t="s">
        <v>421</v>
      </c>
      <c r="N18" s="20" t="s">
        <v>45</v>
      </c>
      <c r="O18" s="20" t="s">
        <v>422</v>
      </c>
      <c r="P18" s="20" t="s">
        <v>423</v>
      </c>
    </row>
    <row r="19" ht="60.0" customHeight="1">
      <c r="A19" s="4" t="s">
        <v>168</v>
      </c>
      <c r="B19" s="17" t="s">
        <v>37</v>
      </c>
      <c r="C19" s="17" t="s">
        <v>55</v>
      </c>
      <c r="D19" s="17"/>
      <c r="E19" s="17" t="s">
        <v>436</v>
      </c>
      <c r="F19" s="17" t="s">
        <v>39</v>
      </c>
      <c r="G19" s="17" t="s">
        <v>40</v>
      </c>
      <c r="H19" s="18">
        <v>243.45</v>
      </c>
      <c r="I19" s="17" t="s">
        <v>437</v>
      </c>
      <c r="J19" s="17" t="s">
        <v>436</v>
      </c>
      <c r="K19" s="17" t="s">
        <v>438</v>
      </c>
      <c r="L19" s="17" t="s">
        <v>371</v>
      </c>
      <c r="M19" s="17" t="s">
        <v>372</v>
      </c>
      <c r="N19" s="17" t="s">
        <v>45</v>
      </c>
      <c r="O19" s="17" t="s">
        <v>439</v>
      </c>
      <c r="P19" s="17" t="s">
        <v>174</v>
      </c>
    </row>
    <row r="20" ht="60.0" customHeight="1">
      <c r="A20" s="4" t="s">
        <v>168</v>
      </c>
      <c r="B20" s="17" t="s">
        <v>147</v>
      </c>
      <c r="C20" s="17" t="s">
        <v>55</v>
      </c>
      <c r="D20" s="17"/>
      <c r="E20" s="17" t="s">
        <v>38</v>
      </c>
      <c r="F20" s="17" t="s">
        <v>39</v>
      </c>
      <c r="G20" s="17" t="s">
        <v>40</v>
      </c>
      <c r="H20" s="18">
        <v>851.14</v>
      </c>
      <c r="I20" s="17" t="s">
        <v>483</v>
      </c>
      <c r="J20" s="17" t="s">
        <v>38</v>
      </c>
      <c r="K20" s="17" t="s">
        <v>42</v>
      </c>
      <c r="L20" s="17" t="s">
        <v>43</v>
      </c>
      <c r="M20" s="17" t="s">
        <v>44</v>
      </c>
      <c r="N20" s="17" t="s">
        <v>45</v>
      </c>
      <c r="O20" s="17" t="s">
        <v>484</v>
      </c>
      <c r="P20" s="17" t="s">
        <v>47</v>
      </c>
    </row>
    <row r="21" ht="60.0" customHeight="1">
      <c r="A21" s="4" t="s">
        <v>168</v>
      </c>
      <c r="B21" s="20" t="s">
        <v>147</v>
      </c>
      <c r="C21" s="20" t="s">
        <v>55</v>
      </c>
      <c r="D21" s="20"/>
      <c r="E21" s="20" t="s">
        <v>38</v>
      </c>
      <c r="F21" s="20" t="s">
        <v>39</v>
      </c>
      <c r="G21" s="20" t="s">
        <v>40</v>
      </c>
      <c r="H21" s="21">
        <v>851.14</v>
      </c>
      <c r="I21" s="20" t="s">
        <v>485</v>
      </c>
      <c r="J21" s="20" t="s">
        <v>38</v>
      </c>
      <c r="K21" s="20" t="s">
        <v>42</v>
      </c>
      <c r="L21" s="20" t="s">
        <v>43</v>
      </c>
      <c r="M21" s="20" t="s">
        <v>44</v>
      </c>
      <c r="N21" s="20" t="s">
        <v>45</v>
      </c>
      <c r="O21" s="20" t="s">
        <v>486</v>
      </c>
      <c r="P21" s="20" t="s">
        <v>47</v>
      </c>
    </row>
    <row r="22" ht="60.0" customHeight="1">
      <c r="A22" s="4" t="s">
        <v>168</v>
      </c>
      <c r="B22" s="20" t="s">
        <v>183</v>
      </c>
      <c r="C22" s="20" t="s">
        <v>55</v>
      </c>
      <c r="D22" s="20"/>
      <c r="E22" s="20" t="s">
        <v>436</v>
      </c>
      <c r="F22" s="20" t="s">
        <v>39</v>
      </c>
      <c r="G22" s="20" t="s">
        <v>40</v>
      </c>
      <c r="H22" s="21">
        <v>1003.9</v>
      </c>
      <c r="I22" s="20" t="s">
        <v>487</v>
      </c>
      <c r="J22" s="20" t="s">
        <v>436</v>
      </c>
      <c r="K22" s="20" t="s">
        <v>438</v>
      </c>
      <c r="L22" s="20" t="s">
        <v>371</v>
      </c>
      <c r="M22" s="20" t="s">
        <v>372</v>
      </c>
      <c r="N22" s="20" t="s">
        <v>45</v>
      </c>
      <c r="O22" s="20" t="s">
        <v>488</v>
      </c>
      <c r="P22" s="20" t="s">
        <v>174</v>
      </c>
    </row>
    <row r="23" ht="60.0" customHeight="1">
      <c r="A23" s="4" t="s">
        <v>506</v>
      </c>
      <c r="B23" s="17" t="s">
        <v>108</v>
      </c>
      <c r="C23" s="17" t="s">
        <v>55</v>
      </c>
      <c r="D23" s="17"/>
      <c r="E23" s="17" t="s">
        <v>560</v>
      </c>
      <c r="F23" s="17" t="s">
        <v>39</v>
      </c>
      <c r="G23" s="17" t="s">
        <v>40</v>
      </c>
      <c r="H23" s="18">
        <v>11.03</v>
      </c>
      <c r="I23" s="17" t="s">
        <v>561</v>
      </c>
      <c r="J23" s="17" t="s">
        <v>560</v>
      </c>
      <c r="K23" s="17" t="s">
        <v>562</v>
      </c>
      <c r="L23" s="17" t="s">
        <v>326</v>
      </c>
      <c r="M23" s="17" t="s">
        <v>563</v>
      </c>
      <c r="N23" s="17" t="s">
        <v>45</v>
      </c>
      <c r="O23" s="17" t="s">
        <v>564</v>
      </c>
      <c r="P23" s="17" t="s">
        <v>64</v>
      </c>
    </row>
    <row r="24" ht="60.0" customHeight="1">
      <c r="A24" s="4" t="s">
        <v>506</v>
      </c>
      <c r="B24" s="17" t="s">
        <v>367</v>
      </c>
      <c r="C24" s="17" t="s">
        <v>55</v>
      </c>
      <c r="D24" s="17"/>
      <c r="E24" s="17" t="s">
        <v>593</v>
      </c>
      <c r="F24" s="17" t="s">
        <v>39</v>
      </c>
      <c r="G24" s="17" t="s">
        <v>40</v>
      </c>
      <c r="H24" s="18">
        <v>12.93</v>
      </c>
      <c r="I24" s="17" t="s">
        <v>594</v>
      </c>
      <c r="J24" s="17" t="s">
        <v>593</v>
      </c>
      <c r="K24" s="17" t="s">
        <v>595</v>
      </c>
      <c r="L24" s="17" t="s">
        <v>433</v>
      </c>
      <c r="M24" s="17" t="s">
        <v>434</v>
      </c>
      <c r="N24" s="17" t="s">
        <v>45</v>
      </c>
      <c r="O24" s="17" t="s">
        <v>596</v>
      </c>
      <c r="P24" s="17" t="s">
        <v>174</v>
      </c>
    </row>
    <row r="25" ht="60.0" customHeight="1">
      <c r="A25" s="4" t="s">
        <v>506</v>
      </c>
      <c r="B25" s="20" t="s">
        <v>183</v>
      </c>
      <c r="C25" s="20" t="s">
        <v>55</v>
      </c>
      <c r="D25" s="20"/>
      <c r="E25" s="20" t="s">
        <v>605</v>
      </c>
      <c r="F25" s="20" t="s">
        <v>39</v>
      </c>
      <c r="G25" s="20" t="s">
        <v>40</v>
      </c>
      <c r="H25" s="21">
        <v>13.68</v>
      </c>
      <c r="I25" s="20" t="s">
        <v>606</v>
      </c>
      <c r="J25" s="20" t="s">
        <v>605</v>
      </c>
      <c r="K25" s="20" t="s">
        <v>607</v>
      </c>
      <c r="L25" s="20" t="s">
        <v>119</v>
      </c>
      <c r="M25" s="20" t="s">
        <v>120</v>
      </c>
      <c r="N25" s="20" t="s">
        <v>45</v>
      </c>
      <c r="O25" s="20" t="s">
        <v>608</v>
      </c>
      <c r="P25" s="20" t="s">
        <v>609</v>
      </c>
    </row>
    <row r="26" ht="60.0" customHeight="1">
      <c r="A26" s="4" t="s">
        <v>506</v>
      </c>
      <c r="B26" s="17" t="s">
        <v>147</v>
      </c>
      <c r="C26" s="17" t="s">
        <v>55</v>
      </c>
      <c r="D26" s="17"/>
      <c r="E26" s="17" t="s">
        <v>630</v>
      </c>
      <c r="F26" s="17" t="s">
        <v>39</v>
      </c>
      <c r="G26" s="17" t="s">
        <v>40</v>
      </c>
      <c r="H26" s="18">
        <v>15.78</v>
      </c>
      <c r="I26" s="17" t="s">
        <v>631</v>
      </c>
      <c r="J26" s="17" t="s">
        <v>630</v>
      </c>
      <c r="K26" s="17" t="s">
        <v>632</v>
      </c>
      <c r="L26" s="17" t="s">
        <v>633</v>
      </c>
      <c r="M26" s="17" t="s">
        <v>634</v>
      </c>
      <c r="N26" s="17" t="s">
        <v>45</v>
      </c>
      <c r="O26" s="17" t="s">
        <v>635</v>
      </c>
      <c r="P26" s="17" t="s">
        <v>174</v>
      </c>
    </row>
    <row r="27" ht="60.0" customHeight="1">
      <c r="A27" s="4" t="s">
        <v>506</v>
      </c>
      <c r="B27" s="17" t="s">
        <v>115</v>
      </c>
      <c r="C27" s="17" t="s">
        <v>55</v>
      </c>
      <c r="D27" s="17"/>
      <c r="E27" s="17" t="s">
        <v>650</v>
      </c>
      <c r="F27" s="17" t="s">
        <v>39</v>
      </c>
      <c r="G27" s="17" t="s">
        <v>40</v>
      </c>
      <c r="H27" s="18">
        <v>17.87</v>
      </c>
      <c r="I27" s="17" t="s">
        <v>651</v>
      </c>
      <c r="J27" s="17" t="s">
        <v>650</v>
      </c>
      <c r="K27" s="17" t="s">
        <v>652</v>
      </c>
      <c r="L27" s="17" t="s">
        <v>119</v>
      </c>
      <c r="M27" s="17" t="s">
        <v>653</v>
      </c>
      <c r="N27" s="17" t="s">
        <v>45</v>
      </c>
      <c r="O27" s="17" t="s">
        <v>654</v>
      </c>
      <c r="P27" s="17" t="s">
        <v>182</v>
      </c>
    </row>
    <row r="28" ht="60.0" customHeight="1">
      <c r="A28" s="4" t="s">
        <v>506</v>
      </c>
      <c r="B28" s="17" t="s">
        <v>147</v>
      </c>
      <c r="C28" s="17" t="s">
        <v>55</v>
      </c>
      <c r="D28" s="17"/>
      <c r="E28" s="17" t="s">
        <v>655</v>
      </c>
      <c r="F28" s="17" t="s">
        <v>39</v>
      </c>
      <c r="G28" s="17" t="s">
        <v>40</v>
      </c>
      <c r="H28" s="18">
        <v>18.4</v>
      </c>
      <c r="I28" s="17" t="s">
        <v>656</v>
      </c>
      <c r="J28" s="17" t="s">
        <v>655</v>
      </c>
      <c r="K28" s="17" t="s">
        <v>657</v>
      </c>
      <c r="L28" s="17" t="s">
        <v>371</v>
      </c>
      <c r="M28" s="17" t="s">
        <v>372</v>
      </c>
      <c r="N28" s="17" t="s">
        <v>45</v>
      </c>
      <c r="O28" s="17" t="s">
        <v>658</v>
      </c>
      <c r="P28" s="17" t="s">
        <v>174</v>
      </c>
    </row>
    <row r="29" ht="60.0" customHeight="1">
      <c r="A29" s="4" t="s">
        <v>506</v>
      </c>
      <c r="B29" s="20" t="s">
        <v>156</v>
      </c>
      <c r="C29" s="20" t="s">
        <v>55</v>
      </c>
      <c r="D29" s="20"/>
      <c r="E29" s="20" t="s">
        <v>157</v>
      </c>
      <c r="F29" s="20" t="s">
        <v>39</v>
      </c>
      <c r="G29" s="20" t="s">
        <v>40</v>
      </c>
      <c r="H29" s="21">
        <v>20.0</v>
      </c>
      <c r="I29" s="20" t="s">
        <v>661</v>
      </c>
      <c r="J29" s="20" t="s">
        <v>159</v>
      </c>
      <c r="K29" s="20" t="s">
        <v>86</v>
      </c>
      <c r="L29" s="20" t="s">
        <v>87</v>
      </c>
      <c r="M29" s="20" t="s">
        <v>88</v>
      </c>
      <c r="N29" s="20" t="s">
        <v>45</v>
      </c>
      <c r="O29" s="20" t="s">
        <v>662</v>
      </c>
      <c r="P29" s="20" t="s">
        <v>90</v>
      </c>
    </row>
    <row r="30" ht="60.0" customHeight="1">
      <c r="A30" s="4" t="s">
        <v>506</v>
      </c>
      <c r="B30" s="20" t="s">
        <v>183</v>
      </c>
      <c r="C30" s="20" t="s">
        <v>55</v>
      </c>
      <c r="D30" s="20"/>
      <c r="E30" s="20" t="s">
        <v>684</v>
      </c>
      <c r="F30" s="20" t="s">
        <v>39</v>
      </c>
      <c r="G30" s="20" t="s">
        <v>40</v>
      </c>
      <c r="H30" s="21">
        <v>22.36</v>
      </c>
      <c r="I30" s="20" t="s">
        <v>685</v>
      </c>
      <c r="J30" s="20" t="s">
        <v>684</v>
      </c>
      <c r="K30" s="20" t="s">
        <v>686</v>
      </c>
      <c r="L30" s="20" t="s">
        <v>687</v>
      </c>
      <c r="M30" s="20" t="s">
        <v>688</v>
      </c>
      <c r="N30" s="20" t="s">
        <v>45</v>
      </c>
      <c r="O30" s="20" t="s">
        <v>689</v>
      </c>
      <c r="P30" s="20" t="s">
        <v>74</v>
      </c>
    </row>
    <row r="31" ht="60.0" customHeight="1">
      <c r="A31" s="4" t="s">
        <v>710</v>
      </c>
      <c r="B31" s="20" t="s">
        <v>290</v>
      </c>
      <c r="C31" s="20" t="s">
        <v>55</v>
      </c>
      <c r="D31" s="20"/>
      <c r="E31" s="20" t="s">
        <v>430</v>
      </c>
      <c r="F31" s="20" t="s">
        <v>39</v>
      </c>
      <c r="G31" s="20" t="s">
        <v>40</v>
      </c>
      <c r="H31" s="21">
        <v>26.0</v>
      </c>
      <c r="I31" s="20" t="s">
        <v>715</v>
      </c>
      <c r="J31" s="20" t="s">
        <v>430</v>
      </c>
      <c r="K31" s="20" t="s">
        <v>432</v>
      </c>
      <c r="L31" s="20" t="s">
        <v>433</v>
      </c>
      <c r="M31" s="20" t="s">
        <v>434</v>
      </c>
      <c r="N31" s="20" t="s">
        <v>45</v>
      </c>
      <c r="O31" s="20" t="s">
        <v>716</v>
      </c>
      <c r="P31" s="20" t="s">
        <v>74</v>
      </c>
    </row>
    <row r="32" ht="60.0" customHeight="1">
      <c r="A32" s="4" t="s">
        <v>710</v>
      </c>
      <c r="B32" s="17" t="s">
        <v>115</v>
      </c>
      <c r="C32" s="17" t="s">
        <v>55</v>
      </c>
      <c r="D32" s="17"/>
      <c r="E32" s="17" t="s">
        <v>560</v>
      </c>
      <c r="F32" s="17" t="s">
        <v>39</v>
      </c>
      <c r="G32" s="17" t="s">
        <v>40</v>
      </c>
      <c r="H32" s="18">
        <v>27.41</v>
      </c>
      <c r="I32" s="17" t="s">
        <v>731</v>
      </c>
      <c r="J32" s="17" t="s">
        <v>560</v>
      </c>
      <c r="K32" s="17" t="s">
        <v>562</v>
      </c>
      <c r="L32" s="17" t="s">
        <v>326</v>
      </c>
      <c r="M32" s="17" t="s">
        <v>563</v>
      </c>
      <c r="N32" s="17" t="s">
        <v>45</v>
      </c>
      <c r="O32" s="17" t="s">
        <v>732</v>
      </c>
      <c r="P32" s="17" t="s">
        <v>64</v>
      </c>
    </row>
    <row r="33" ht="60.0" customHeight="1">
      <c r="A33" s="4" t="s">
        <v>710</v>
      </c>
      <c r="B33" s="17" t="s">
        <v>156</v>
      </c>
      <c r="C33" s="17" t="s">
        <v>55</v>
      </c>
      <c r="D33" s="17"/>
      <c r="E33" s="17" t="s">
        <v>521</v>
      </c>
      <c r="F33" s="17" t="s">
        <v>39</v>
      </c>
      <c r="G33" s="17" t="s">
        <v>40</v>
      </c>
      <c r="H33" s="18">
        <v>27.62</v>
      </c>
      <c r="I33" s="17" t="s">
        <v>735</v>
      </c>
      <c r="J33" s="17" t="s">
        <v>521</v>
      </c>
      <c r="K33" s="17" t="s">
        <v>523</v>
      </c>
      <c r="L33" s="17" t="s">
        <v>524</v>
      </c>
      <c r="M33" s="17" t="s">
        <v>525</v>
      </c>
      <c r="N33" s="17" t="s">
        <v>45</v>
      </c>
      <c r="O33" s="17" t="s">
        <v>736</v>
      </c>
      <c r="P33" s="17" t="s">
        <v>64</v>
      </c>
    </row>
    <row r="34" ht="60.0" customHeight="1">
      <c r="A34" s="4" t="s">
        <v>710</v>
      </c>
      <c r="B34" s="17" t="s">
        <v>233</v>
      </c>
      <c r="C34" s="17" t="s">
        <v>55</v>
      </c>
      <c r="D34" s="17"/>
      <c r="E34" s="17" t="s">
        <v>745</v>
      </c>
      <c r="F34" s="17" t="s">
        <v>39</v>
      </c>
      <c r="G34" s="17" t="s">
        <v>40</v>
      </c>
      <c r="H34" s="18">
        <v>29.51</v>
      </c>
      <c r="I34" s="17" t="s">
        <v>746</v>
      </c>
      <c r="J34" s="17" t="s">
        <v>745</v>
      </c>
      <c r="K34" s="17" t="s">
        <v>188</v>
      </c>
      <c r="L34" s="17" t="s">
        <v>189</v>
      </c>
      <c r="M34" s="17" t="s">
        <v>190</v>
      </c>
      <c r="N34" s="17" t="s">
        <v>45</v>
      </c>
      <c r="O34" s="17" t="s">
        <v>747</v>
      </c>
      <c r="P34" s="17" t="s">
        <v>64</v>
      </c>
    </row>
    <row r="35" ht="60.0" customHeight="1">
      <c r="A35" s="4" t="s">
        <v>710</v>
      </c>
      <c r="B35" s="17" t="s">
        <v>196</v>
      </c>
      <c r="C35" s="17" t="s">
        <v>55</v>
      </c>
      <c r="D35" s="17"/>
      <c r="E35" s="17" t="s">
        <v>754</v>
      </c>
      <c r="F35" s="17" t="s">
        <v>39</v>
      </c>
      <c r="G35" s="17" t="s">
        <v>40</v>
      </c>
      <c r="H35" s="18">
        <v>30.0</v>
      </c>
      <c r="I35" s="17" t="s">
        <v>755</v>
      </c>
      <c r="J35" s="17" t="s">
        <v>754</v>
      </c>
      <c r="K35" s="17" t="s">
        <v>756</v>
      </c>
      <c r="L35" s="17" t="s">
        <v>757</v>
      </c>
      <c r="M35" s="17" t="s">
        <v>758</v>
      </c>
      <c r="N35" s="17" t="s">
        <v>45</v>
      </c>
      <c r="O35" s="17" t="s">
        <v>759</v>
      </c>
      <c r="P35" s="17" t="s">
        <v>64</v>
      </c>
    </row>
    <row r="36" ht="60.0" customHeight="1">
      <c r="A36" s="4" t="s">
        <v>710</v>
      </c>
      <c r="B36" s="20" t="s">
        <v>196</v>
      </c>
      <c r="C36" s="20" t="s">
        <v>55</v>
      </c>
      <c r="D36" s="20"/>
      <c r="E36" s="20" t="s">
        <v>760</v>
      </c>
      <c r="F36" s="20" t="s">
        <v>39</v>
      </c>
      <c r="G36" s="20" t="s">
        <v>40</v>
      </c>
      <c r="H36" s="21">
        <v>31.0</v>
      </c>
      <c r="I36" s="20" t="s">
        <v>761</v>
      </c>
      <c r="J36" s="20" t="s">
        <v>760</v>
      </c>
      <c r="K36" s="20" t="s">
        <v>762</v>
      </c>
      <c r="L36" s="20" t="s">
        <v>43</v>
      </c>
      <c r="M36" s="20" t="s">
        <v>44</v>
      </c>
      <c r="N36" s="20" t="s">
        <v>45</v>
      </c>
      <c r="O36" s="20" t="s">
        <v>763</v>
      </c>
      <c r="P36" s="20" t="s">
        <v>64</v>
      </c>
    </row>
    <row r="37" ht="60.0" customHeight="1">
      <c r="A37" s="4" t="s">
        <v>710</v>
      </c>
      <c r="B37" s="20" t="s">
        <v>367</v>
      </c>
      <c r="C37" s="20" t="s">
        <v>55</v>
      </c>
      <c r="D37" s="20"/>
      <c r="E37" s="20" t="s">
        <v>368</v>
      </c>
      <c r="F37" s="20" t="s">
        <v>39</v>
      </c>
      <c r="G37" s="20" t="s">
        <v>40</v>
      </c>
      <c r="H37" s="21">
        <v>31.58</v>
      </c>
      <c r="I37" s="20" t="s">
        <v>764</v>
      </c>
      <c r="J37" s="20" t="s">
        <v>368</v>
      </c>
      <c r="K37" s="20" t="s">
        <v>370</v>
      </c>
      <c r="L37" s="20" t="s">
        <v>371</v>
      </c>
      <c r="M37" s="20" t="s">
        <v>372</v>
      </c>
      <c r="N37" s="20" t="s">
        <v>45</v>
      </c>
      <c r="O37" s="20" t="s">
        <v>765</v>
      </c>
      <c r="P37" s="20" t="s">
        <v>182</v>
      </c>
    </row>
    <row r="38" ht="60.0" customHeight="1">
      <c r="A38" s="4" t="s">
        <v>710</v>
      </c>
      <c r="B38" s="20" t="s">
        <v>290</v>
      </c>
      <c r="C38" s="20" t="s">
        <v>55</v>
      </c>
      <c r="D38" s="20"/>
      <c r="E38" s="20" t="s">
        <v>560</v>
      </c>
      <c r="F38" s="20" t="s">
        <v>39</v>
      </c>
      <c r="G38" s="20" t="s">
        <v>40</v>
      </c>
      <c r="H38" s="21">
        <v>32.28</v>
      </c>
      <c r="I38" s="20" t="s">
        <v>770</v>
      </c>
      <c r="J38" s="20" t="s">
        <v>560</v>
      </c>
      <c r="K38" s="20" t="s">
        <v>562</v>
      </c>
      <c r="L38" s="20" t="s">
        <v>326</v>
      </c>
      <c r="M38" s="20" t="s">
        <v>563</v>
      </c>
      <c r="N38" s="20" t="s">
        <v>45</v>
      </c>
      <c r="O38" s="20" t="s">
        <v>771</v>
      </c>
      <c r="P38" s="20" t="s">
        <v>64</v>
      </c>
    </row>
    <row r="39" ht="60.0" customHeight="1">
      <c r="A39" s="4" t="s">
        <v>710</v>
      </c>
      <c r="B39" s="20" t="s">
        <v>147</v>
      </c>
      <c r="C39" s="20" t="s">
        <v>55</v>
      </c>
      <c r="D39" s="20"/>
      <c r="E39" s="20" t="s">
        <v>774</v>
      </c>
      <c r="F39" s="20" t="s">
        <v>39</v>
      </c>
      <c r="G39" s="20" t="s">
        <v>40</v>
      </c>
      <c r="H39" s="21">
        <v>32.6</v>
      </c>
      <c r="I39" s="20" t="s">
        <v>775</v>
      </c>
      <c r="J39" s="20" t="s">
        <v>774</v>
      </c>
      <c r="K39" s="20" t="s">
        <v>188</v>
      </c>
      <c r="L39" s="20" t="s">
        <v>189</v>
      </c>
      <c r="M39" s="20" t="s">
        <v>190</v>
      </c>
      <c r="N39" s="20" t="s">
        <v>45</v>
      </c>
      <c r="O39" s="20" t="s">
        <v>776</v>
      </c>
      <c r="P39" s="20" t="s">
        <v>64</v>
      </c>
    </row>
    <row r="40" ht="60.0" customHeight="1">
      <c r="A40" s="4" t="s">
        <v>710</v>
      </c>
      <c r="B40" s="17" t="s">
        <v>131</v>
      </c>
      <c r="C40" s="17" t="s">
        <v>55</v>
      </c>
      <c r="D40" s="17"/>
      <c r="E40" s="17" t="s">
        <v>560</v>
      </c>
      <c r="F40" s="17" t="s">
        <v>39</v>
      </c>
      <c r="G40" s="17" t="s">
        <v>40</v>
      </c>
      <c r="H40" s="18">
        <v>33.25</v>
      </c>
      <c r="I40" s="17" t="s">
        <v>781</v>
      </c>
      <c r="J40" s="17" t="s">
        <v>560</v>
      </c>
      <c r="K40" s="17" t="s">
        <v>562</v>
      </c>
      <c r="L40" s="17" t="s">
        <v>326</v>
      </c>
      <c r="M40" s="17" t="s">
        <v>563</v>
      </c>
      <c r="N40" s="17" t="s">
        <v>45</v>
      </c>
      <c r="O40" s="17" t="s">
        <v>782</v>
      </c>
      <c r="P40" s="17" t="s">
        <v>64</v>
      </c>
    </row>
    <row r="41" ht="60.0" customHeight="1">
      <c r="A41" s="4" t="s">
        <v>710</v>
      </c>
      <c r="B41" s="17" t="s">
        <v>65</v>
      </c>
      <c r="C41" s="17" t="s">
        <v>55</v>
      </c>
      <c r="D41" s="17"/>
      <c r="E41" s="17" t="s">
        <v>785</v>
      </c>
      <c r="F41" s="17" t="s">
        <v>39</v>
      </c>
      <c r="G41" s="17" t="s">
        <v>40</v>
      </c>
      <c r="H41" s="18">
        <v>34.54</v>
      </c>
      <c r="I41" s="17" t="s">
        <v>786</v>
      </c>
      <c r="J41" s="17" t="s">
        <v>785</v>
      </c>
      <c r="K41" s="17" t="s">
        <v>787</v>
      </c>
      <c r="L41" s="17" t="s">
        <v>326</v>
      </c>
      <c r="M41" s="17" t="s">
        <v>563</v>
      </c>
      <c r="N41" s="17" t="s">
        <v>45</v>
      </c>
      <c r="O41" s="17" t="s">
        <v>788</v>
      </c>
      <c r="P41" s="17" t="s">
        <v>174</v>
      </c>
    </row>
    <row r="42" ht="60.0" customHeight="1">
      <c r="A42" s="4" t="s">
        <v>506</v>
      </c>
      <c r="B42" s="17" t="s">
        <v>196</v>
      </c>
      <c r="C42" s="17" t="s">
        <v>55</v>
      </c>
      <c r="D42" s="17"/>
      <c r="E42" s="17" t="s">
        <v>799</v>
      </c>
      <c r="F42" s="17" t="s">
        <v>39</v>
      </c>
      <c r="G42" s="17" t="s">
        <v>40</v>
      </c>
      <c r="H42" s="18">
        <v>37.85</v>
      </c>
      <c r="I42" s="17" t="s">
        <v>800</v>
      </c>
      <c r="J42" s="17" t="s">
        <v>799</v>
      </c>
      <c r="K42" s="17" t="s">
        <v>801</v>
      </c>
      <c r="L42" s="17" t="s">
        <v>802</v>
      </c>
      <c r="M42" s="17" t="s">
        <v>803</v>
      </c>
      <c r="N42" s="17" t="s">
        <v>45</v>
      </c>
      <c r="O42" s="17" t="s">
        <v>804</v>
      </c>
      <c r="P42" s="17" t="s">
        <v>64</v>
      </c>
    </row>
    <row r="43" ht="60.0" customHeight="1">
      <c r="A43" s="4" t="s">
        <v>506</v>
      </c>
      <c r="B43" s="17" t="s">
        <v>196</v>
      </c>
      <c r="C43" s="17" t="s">
        <v>378</v>
      </c>
      <c r="D43" s="17"/>
      <c r="E43" s="17" t="s">
        <v>805</v>
      </c>
      <c r="F43" s="17" t="s">
        <v>39</v>
      </c>
      <c r="G43" s="17" t="s">
        <v>40</v>
      </c>
      <c r="H43" s="18">
        <v>37.97</v>
      </c>
      <c r="I43" s="17" t="s">
        <v>806</v>
      </c>
      <c r="J43" s="17" t="s">
        <v>805</v>
      </c>
      <c r="K43" s="17" t="s">
        <v>807</v>
      </c>
      <c r="L43" s="17" t="s">
        <v>433</v>
      </c>
      <c r="M43" s="17" t="s">
        <v>434</v>
      </c>
      <c r="N43" s="17" t="s">
        <v>45</v>
      </c>
      <c r="O43" s="17" t="s">
        <v>808</v>
      </c>
      <c r="P43" s="17" t="s">
        <v>502</v>
      </c>
    </row>
    <row r="44" ht="60.0" customHeight="1">
      <c r="A44" s="4" t="s">
        <v>710</v>
      </c>
      <c r="B44" s="17" t="s">
        <v>367</v>
      </c>
      <c r="C44" s="17" t="s">
        <v>55</v>
      </c>
      <c r="D44" s="17"/>
      <c r="E44" s="17" t="s">
        <v>809</v>
      </c>
      <c r="F44" s="17" t="s">
        <v>39</v>
      </c>
      <c r="G44" s="17" t="s">
        <v>40</v>
      </c>
      <c r="H44" s="18">
        <v>38.0</v>
      </c>
      <c r="I44" s="17" t="s">
        <v>810</v>
      </c>
      <c r="J44" s="17" t="s">
        <v>809</v>
      </c>
      <c r="K44" s="17" t="s">
        <v>60</v>
      </c>
      <c r="L44" s="17" t="s">
        <v>61</v>
      </c>
      <c r="M44" s="17" t="s">
        <v>62</v>
      </c>
      <c r="N44" s="17" t="s">
        <v>45</v>
      </c>
      <c r="O44" s="17" t="s">
        <v>811</v>
      </c>
      <c r="P44" s="17" t="s">
        <v>64</v>
      </c>
    </row>
    <row r="45" ht="60.0" customHeight="1">
      <c r="A45" s="4" t="s">
        <v>710</v>
      </c>
      <c r="B45" s="17" t="s">
        <v>183</v>
      </c>
      <c r="C45" s="17" t="s">
        <v>55</v>
      </c>
      <c r="D45" s="17"/>
      <c r="E45" s="17" t="s">
        <v>760</v>
      </c>
      <c r="F45" s="17" t="s">
        <v>39</v>
      </c>
      <c r="G45" s="17" t="s">
        <v>40</v>
      </c>
      <c r="H45" s="18">
        <v>38.01</v>
      </c>
      <c r="I45" s="17" t="s">
        <v>812</v>
      </c>
      <c r="J45" s="17" t="s">
        <v>760</v>
      </c>
      <c r="K45" s="17" t="s">
        <v>762</v>
      </c>
      <c r="L45" s="17" t="s">
        <v>43</v>
      </c>
      <c r="M45" s="17" t="s">
        <v>44</v>
      </c>
      <c r="N45" s="17" t="s">
        <v>45</v>
      </c>
      <c r="O45" s="17" t="s">
        <v>813</v>
      </c>
      <c r="P45" s="17" t="s">
        <v>64</v>
      </c>
    </row>
    <row r="46" ht="60.0" customHeight="1">
      <c r="A46" s="4" t="s">
        <v>710</v>
      </c>
      <c r="B46" s="17" t="s">
        <v>83</v>
      </c>
      <c r="C46" s="17" t="s">
        <v>55</v>
      </c>
      <c r="D46" s="17"/>
      <c r="E46" s="17" t="s">
        <v>760</v>
      </c>
      <c r="F46" s="17" t="s">
        <v>39</v>
      </c>
      <c r="G46" s="17" t="s">
        <v>40</v>
      </c>
      <c r="H46" s="18">
        <v>40.0</v>
      </c>
      <c r="I46" s="17" t="s">
        <v>816</v>
      </c>
      <c r="J46" s="17" t="s">
        <v>760</v>
      </c>
      <c r="K46" s="17" t="s">
        <v>762</v>
      </c>
      <c r="L46" s="17" t="s">
        <v>43</v>
      </c>
      <c r="M46" s="17" t="s">
        <v>44</v>
      </c>
      <c r="N46" s="17" t="s">
        <v>45</v>
      </c>
      <c r="O46" s="17" t="s">
        <v>817</v>
      </c>
      <c r="P46" s="17" t="s">
        <v>64</v>
      </c>
    </row>
    <row r="47" ht="60.0" customHeight="1">
      <c r="A47" s="4" t="s">
        <v>710</v>
      </c>
      <c r="B47" s="20" t="s">
        <v>367</v>
      </c>
      <c r="C47" s="20" t="s">
        <v>55</v>
      </c>
      <c r="D47" s="20"/>
      <c r="E47" s="20" t="s">
        <v>197</v>
      </c>
      <c r="F47" s="20" t="s">
        <v>39</v>
      </c>
      <c r="G47" s="20" t="s">
        <v>40</v>
      </c>
      <c r="H47" s="21">
        <v>40.0</v>
      </c>
      <c r="I47" s="20" t="s">
        <v>818</v>
      </c>
      <c r="J47" s="20" t="s">
        <v>197</v>
      </c>
      <c r="K47" s="20" t="s">
        <v>199</v>
      </c>
      <c r="L47" s="20" t="s">
        <v>200</v>
      </c>
      <c r="M47" s="20" t="s">
        <v>201</v>
      </c>
      <c r="N47" s="20" t="s">
        <v>45</v>
      </c>
      <c r="O47" s="20" t="s">
        <v>819</v>
      </c>
      <c r="P47" s="20" t="s">
        <v>64</v>
      </c>
    </row>
    <row r="48" ht="60.0" customHeight="1">
      <c r="A48" s="4" t="s">
        <v>506</v>
      </c>
      <c r="B48" s="17" t="s">
        <v>367</v>
      </c>
      <c r="C48" s="17" t="s">
        <v>55</v>
      </c>
      <c r="D48" s="17"/>
      <c r="E48" s="17" t="s">
        <v>820</v>
      </c>
      <c r="F48" s="17" t="s">
        <v>39</v>
      </c>
      <c r="G48" s="17" t="s">
        <v>40</v>
      </c>
      <c r="H48" s="18">
        <v>40.48</v>
      </c>
      <c r="I48" s="17" t="s">
        <v>821</v>
      </c>
      <c r="J48" s="17" t="s">
        <v>820</v>
      </c>
      <c r="K48" s="17" t="s">
        <v>822</v>
      </c>
      <c r="L48" s="17" t="s">
        <v>43</v>
      </c>
      <c r="M48" s="17" t="s">
        <v>823</v>
      </c>
      <c r="N48" s="17" t="s">
        <v>45</v>
      </c>
      <c r="O48" s="17" t="s">
        <v>824</v>
      </c>
      <c r="P48" s="17" t="s">
        <v>182</v>
      </c>
    </row>
    <row r="49" ht="60.0" customHeight="1">
      <c r="A49" s="4" t="s">
        <v>506</v>
      </c>
      <c r="B49" s="20" t="s">
        <v>91</v>
      </c>
      <c r="C49" s="20" t="s">
        <v>55</v>
      </c>
      <c r="D49" s="20"/>
      <c r="E49" s="20" t="s">
        <v>809</v>
      </c>
      <c r="F49" s="20" t="s">
        <v>39</v>
      </c>
      <c r="G49" s="20" t="s">
        <v>40</v>
      </c>
      <c r="H49" s="21">
        <v>41.0</v>
      </c>
      <c r="I49" s="20" t="s">
        <v>825</v>
      </c>
      <c r="J49" s="20" t="s">
        <v>809</v>
      </c>
      <c r="K49" s="20" t="s">
        <v>60</v>
      </c>
      <c r="L49" s="20" t="s">
        <v>61</v>
      </c>
      <c r="M49" s="20" t="s">
        <v>62</v>
      </c>
      <c r="N49" s="20" t="s">
        <v>45</v>
      </c>
      <c r="O49" s="20" t="s">
        <v>826</v>
      </c>
      <c r="P49" s="20" t="s">
        <v>64</v>
      </c>
    </row>
    <row r="50" ht="60.0" customHeight="1">
      <c r="A50" s="4" t="s">
        <v>506</v>
      </c>
      <c r="B50" s="20" t="s">
        <v>131</v>
      </c>
      <c r="C50" s="20" t="s">
        <v>55</v>
      </c>
      <c r="D50" s="20"/>
      <c r="E50" s="20" t="s">
        <v>560</v>
      </c>
      <c r="F50" s="20" t="s">
        <v>39</v>
      </c>
      <c r="G50" s="20" t="s">
        <v>40</v>
      </c>
      <c r="H50" s="21">
        <v>43.79</v>
      </c>
      <c r="I50" s="20" t="s">
        <v>837</v>
      </c>
      <c r="J50" s="20" t="s">
        <v>560</v>
      </c>
      <c r="K50" s="20" t="s">
        <v>562</v>
      </c>
      <c r="L50" s="20" t="s">
        <v>326</v>
      </c>
      <c r="M50" s="20" t="s">
        <v>563</v>
      </c>
      <c r="N50" s="20" t="s">
        <v>45</v>
      </c>
      <c r="O50" s="20" t="s">
        <v>838</v>
      </c>
      <c r="P50" s="20" t="s">
        <v>64</v>
      </c>
    </row>
    <row r="51" ht="60.0" customHeight="1">
      <c r="A51" s="4" t="s">
        <v>506</v>
      </c>
      <c r="B51" s="20" t="s">
        <v>115</v>
      </c>
      <c r="C51" s="20" t="s">
        <v>55</v>
      </c>
      <c r="D51" s="20"/>
      <c r="E51" s="20" t="s">
        <v>841</v>
      </c>
      <c r="F51" s="20" t="s">
        <v>39</v>
      </c>
      <c r="G51" s="20" t="s">
        <v>40</v>
      </c>
      <c r="H51" s="21">
        <v>45.25</v>
      </c>
      <c r="I51" s="20" t="s">
        <v>842</v>
      </c>
      <c r="J51" s="20" t="s">
        <v>841</v>
      </c>
      <c r="K51" s="20" t="s">
        <v>199</v>
      </c>
      <c r="L51" s="20" t="s">
        <v>200</v>
      </c>
      <c r="M51" s="20" t="s">
        <v>201</v>
      </c>
      <c r="N51" s="20" t="s">
        <v>45</v>
      </c>
      <c r="O51" s="20" t="s">
        <v>843</v>
      </c>
      <c r="P51" s="20" t="s">
        <v>64</v>
      </c>
    </row>
    <row r="52" ht="60.0" customHeight="1">
      <c r="A52" s="4" t="s">
        <v>506</v>
      </c>
      <c r="B52" s="20" t="s">
        <v>183</v>
      </c>
      <c r="C52" s="20" t="s">
        <v>55</v>
      </c>
      <c r="D52" s="20"/>
      <c r="E52" s="20" t="s">
        <v>760</v>
      </c>
      <c r="F52" s="20" t="s">
        <v>39</v>
      </c>
      <c r="G52" s="20" t="s">
        <v>40</v>
      </c>
      <c r="H52" s="21">
        <v>45.55</v>
      </c>
      <c r="I52" s="20" t="s">
        <v>844</v>
      </c>
      <c r="J52" s="20" t="s">
        <v>760</v>
      </c>
      <c r="K52" s="20" t="s">
        <v>762</v>
      </c>
      <c r="L52" s="20" t="s">
        <v>43</v>
      </c>
      <c r="M52" s="20" t="s">
        <v>44</v>
      </c>
      <c r="N52" s="20" t="s">
        <v>45</v>
      </c>
      <c r="O52" s="20" t="s">
        <v>845</v>
      </c>
      <c r="P52" s="20" t="s">
        <v>64</v>
      </c>
    </row>
    <row r="53" ht="60.0" customHeight="1">
      <c r="A53" s="4" t="s">
        <v>506</v>
      </c>
      <c r="B53" s="17" t="s">
        <v>183</v>
      </c>
      <c r="C53" s="17" t="s">
        <v>55</v>
      </c>
      <c r="D53" s="17"/>
      <c r="E53" s="17" t="s">
        <v>760</v>
      </c>
      <c r="F53" s="17" t="s">
        <v>39</v>
      </c>
      <c r="G53" s="17" t="s">
        <v>40</v>
      </c>
      <c r="H53" s="18">
        <v>46.0</v>
      </c>
      <c r="I53" s="17" t="s">
        <v>848</v>
      </c>
      <c r="J53" s="17" t="s">
        <v>760</v>
      </c>
      <c r="K53" s="17" t="s">
        <v>762</v>
      </c>
      <c r="L53" s="17" t="s">
        <v>43</v>
      </c>
      <c r="M53" s="17" t="s">
        <v>44</v>
      </c>
      <c r="N53" s="17" t="s">
        <v>45</v>
      </c>
      <c r="O53" s="17" t="s">
        <v>849</v>
      </c>
      <c r="P53" s="17" t="s">
        <v>64</v>
      </c>
    </row>
    <row r="54" ht="60.0" customHeight="1">
      <c r="A54" s="4" t="s">
        <v>506</v>
      </c>
      <c r="B54" s="20" t="s">
        <v>65</v>
      </c>
      <c r="C54" s="20" t="s">
        <v>55</v>
      </c>
      <c r="D54" s="20"/>
      <c r="E54" s="20" t="s">
        <v>859</v>
      </c>
      <c r="F54" s="20" t="s">
        <v>39</v>
      </c>
      <c r="G54" s="20" t="s">
        <v>40</v>
      </c>
      <c r="H54" s="21">
        <v>48.75</v>
      </c>
      <c r="I54" s="20" t="s">
        <v>860</v>
      </c>
      <c r="J54" s="20" t="s">
        <v>859</v>
      </c>
      <c r="K54" s="20" t="s">
        <v>861</v>
      </c>
      <c r="L54" s="20" t="s">
        <v>862</v>
      </c>
      <c r="M54" s="20" t="s">
        <v>863</v>
      </c>
      <c r="N54" s="20" t="s">
        <v>45</v>
      </c>
      <c r="O54" s="20" t="s">
        <v>864</v>
      </c>
      <c r="P54" s="20" t="s">
        <v>64</v>
      </c>
    </row>
    <row r="55" ht="60.0" customHeight="1">
      <c r="A55" s="4" t="s">
        <v>506</v>
      </c>
      <c r="B55" s="17" t="s">
        <v>115</v>
      </c>
      <c r="C55" s="17" t="s">
        <v>55</v>
      </c>
      <c r="D55" s="17"/>
      <c r="E55" s="17" t="s">
        <v>841</v>
      </c>
      <c r="F55" s="17" t="s">
        <v>39</v>
      </c>
      <c r="G55" s="17" t="s">
        <v>40</v>
      </c>
      <c r="H55" s="18">
        <v>48.75</v>
      </c>
      <c r="I55" s="17" t="s">
        <v>865</v>
      </c>
      <c r="J55" s="17" t="s">
        <v>841</v>
      </c>
      <c r="K55" s="17" t="s">
        <v>199</v>
      </c>
      <c r="L55" s="17" t="s">
        <v>200</v>
      </c>
      <c r="M55" s="17" t="s">
        <v>201</v>
      </c>
      <c r="N55" s="17" t="s">
        <v>45</v>
      </c>
      <c r="O55" s="17" t="s">
        <v>866</v>
      </c>
      <c r="P55" s="17" t="s">
        <v>64</v>
      </c>
    </row>
    <row r="56" ht="60.0" customHeight="1">
      <c r="A56" s="4" t="s">
        <v>506</v>
      </c>
      <c r="B56" s="17" t="s">
        <v>108</v>
      </c>
      <c r="C56" s="17" t="s">
        <v>55</v>
      </c>
      <c r="D56" s="17"/>
      <c r="E56" s="17" t="s">
        <v>859</v>
      </c>
      <c r="F56" s="17" t="s">
        <v>39</v>
      </c>
      <c r="G56" s="17" t="s">
        <v>40</v>
      </c>
      <c r="H56" s="18">
        <v>49.0</v>
      </c>
      <c r="I56" s="17" t="s">
        <v>867</v>
      </c>
      <c r="J56" s="17" t="s">
        <v>859</v>
      </c>
      <c r="K56" s="17" t="s">
        <v>861</v>
      </c>
      <c r="L56" s="17" t="s">
        <v>862</v>
      </c>
      <c r="M56" s="17" t="s">
        <v>863</v>
      </c>
      <c r="N56" s="17" t="s">
        <v>45</v>
      </c>
      <c r="O56" s="17" t="s">
        <v>868</v>
      </c>
      <c r="P56" s="17" t="s">
        <v>64</v>
      </c>
    </row>
    <row r="57" ht="60.0" customHeight="1">
      <c r="A57" s="4" t="s">
        <v>506</v>
      </c>
      <c r="B57" s="17" t="s">
        <v>290</v>
      </c>
      <c r="C57" s="17" t="s">
        <v>55</v>
      </c>
      <c r="D57" s="17"/>
      <c r="E57" s="17" t="s">
        <v>859</v>
      </c>
      <c r="F57" s="17" t="s">
        <v>39</v>
      </c>
      <c r="G57" s="17" t="s">
        <v>40</v>
      </c>
      <c r="H57" s="18">
        <v>49.09</v>
      </c>
      <c r="I57" s="17" t="s">
        <v>869</v>
      </c>
      <c r="J57" s="17" t="s">
        <v>859</v>
      </c>
      <c r="K57" s="17" t="s">
        <v>861</v>
      </c>
      <c r="L57" s="17" t="s">
        <v>862</v>
      </c>
      <c r="M57" s="17" t="s">
        <v>863</v>
      </c>
      <c r="N57" s="17" t="s">
        <v>45</v>
      </c>
      <c r="O57" s="17" t="s">
        <v>870</v>
      </c>
      <c r="P57" s="17" t="s">
        <v>64</v>
      </c>
    </row>
    <row r="58" ht="60.0" customHeight="1">
      <c r="A58" s="4" t="s">
        <v>506</v>
      </c>
      <c r="B58" s="20" t="s">
        <v>91</v>
      </c>
      <c r="C58" s="20" t="s">
        <v>55</v>
      </c>
      <c r="D58" s="20"/>
      <c r="E58" s="20" t="s">
        <v>876</v>
      </c>
      <c r="F58" s="20" t="s">
        <v>39</v>
      </c>
      <c r="G58" s="20" t="s">
        <v>40</v>
      </c>
      <c r="H58" s="21">
        <v>50.0</v>
      </c>
      <c r="I58" s="20" t="s">
        <v>877</v>
      </c>
      <c r="J58" s="20" t="s">
        <v>876</v>
      </c>
      <c r="K58" s="20" t="s">
        <v>188</v>
      </c>
      <c r="L58" s="20" t="s">
        <v>189</v>
      </c>
      <c r="M58" s="20" t="s">
        <v>190</v>
      </c>
      <c r="N58" s="20" t="s">
        <v>45</v>
      </c>
      <c r="O58" s="20" t="s">
        <v>878</v>
      </c>
      <c r="P58" s="20" t="s">
        <v>64</v>
      </c>
    </row>
    <row r="59" ht="60.0" customHeight="1">
      <c r="A59" s="4" t="s">
        <v>506</v>
      </c>
      <c r="B59" s="17" t="s">
        <v>131</v>
      </c>
      <c r="C59" s="17" t="s">
        <v>55</v>
      </c>
      <c r="D59" s="17"/>
      <c r="E59" s="17" t="s">
        <v>879</v>
      </c>
      <c r="F59" s="17" t="s">
        <v>39</v>
      </c>
      <c r="G59" s="17" t="s">
        <v>40</v>
      </c>
      <c r="H59" s="18">
        <v>51.0</v>
      </c>
      <c r="I59" s="17" t="s">
        <v>880</v>
      </c>
      <c r="J59" s="17" t="s">
        <v>879</v>
      </c>
      <c r="K59" s="17" t="s">
        <v>208</v>
      </c>
      <c r="L59" s="17" t="s">
        <v>97</v>
      </c>
      <c r="M59" s="17" t="s">
        <v>98</v>
      </c>
      <c r="N59" s="17" t="s">
        <v>45</v>
      </c>
      <c r="O59" s="17" t="s">
        <v>881</v>
      </c>
      <c r="P59" s="17" t="s">
        <v>64</v>
      </c>
    </row>
    <row r="60" ht="60.0" customHeight="1">
      <c r="A60" s="4" t="s">
        <v>506</v>
      </c>
      <c r="B60" s="17" t="s">
        <v>290</v>
      </c>
      <c r="C60" s="17" t="s">
        <v>55</v>
      </c>
      <c r="D60" s="17"/>
      <c r="E60" s="17" t="s">
        <v>560</v>
      </c>
      <c r="F60" s="17" t="s">
        <v>39</v>
      </c>
      <c r="G60" s="17" t="s">
        <v>40</v>
      </c>
      <c r="H60" s="18">
        <v>52.0</v>
      </c>
      <c r="I60" s="17" t="s">
        <v>882</v>
      </c>
      <c r="J60" s="17" t="s">
        <v>560</v>
      </c>
      <c r="K60" s="17" t="s">
        <v>562</v>
      </c>
      <c r="L60" s="17" t="s">
        <v>326</v>
      </c>
      <c r="M60" s="17" t="s">
        <v>563</v>
      </c>
      <c r="N60" s="17" t="s">
        <v>45</v>
      </c>
      <c r="O60" s="17" t="s">
        <v>883</v>
      </c>
      <c r="P60" s="17" t="s">
        <v>64</v>
      </c>
    </row>
    <row r="61" ht="60.0" customHeight="1">
      <c r="A61" s="4" t="s">
        <v>506</v>
      </c>
      <c r="B61" s="20" t="s">
        <v>65</v>
      </c>
      <c r="C61" s="20" t="s">
        <v>55</v>
      </c>
      <c r="D61" s="20"/>
      <c r="E61" s="20" t="s">
        <v>560</v>
      </c>
      <c r="F61" s="20" t="s">
        <v>39</v>
      </c>
      <c r="G61" s="20" t="s">
        <v>40</v>
      </c>
      <c r="H61" s="21">
        <v>52.25</v>
      </c>
      <c r="I61" s="20" t="s">
        <v>884</v>
      </c>
      <c r="J61" s="20" t="s">
        <v>560</v>
      </c>
      <c r="K61" s="20" t="s">
        <v>562</v>
      </c>
      <c r="L61" s="20" t="s">
        <v>326</v>
      </c>
      <c r="M61" s="20" t="s">
        <v>563</v>
      </c>
      <c r="N61" s="20" t="s">
        <v>45</v>
      </c>
      <c r="O61" s="20" t="s">
        <v>885</v>
      </c>
      <c r="P61" s="20" t="s">
        <v>64</v>
      </c>
    </row>
    <row r="62" ht="60.0" customHeight="1">
      <c r="A62" s="4" t="s">
        <v>506</v>
      </c>
      <c r="B62" s="20" t="s">
        <v>115</v>
      </c>
      <c r="C62" s="20" t="s">
        <v>55</v>
      </c>
      <c r="D62" s="20"/>
      <c r="E62" s="20" t="s">
        <v>841</v>
      </c>
      <c r="F62" s="20" t="s">
        <v>39</v>
      </c>
      <c r="G62" s="20" t="s">
        <v>40</v>
      </c>
      <c r="H62" s="21">
        <v>53.5</v>
      </c>
      <c r="I62" s="20" t="s">
        <v>896</v>
      </c>
      <c r="J62" s="20" t="s">
        <v>841</v>
      </c>
      <c r="K62" s="20" t="s">
        <v>199</v>
      </c>
      <c r="L62" s="20" t="s">
        <v>200</v>
      </c>
      <c r="M62" s="20" t="s">
        <v>201</v>
      </c>
      <c r="N62" s="20" t="s">
        <v>45</v>
      </c>
      <c r="O62" s="20" t="s">
        <v>897</v>
      </c>
      <c r="P62" s="20" t="s">
        <v>64</v>
      </c>
    </row>
    <row r="63" ht="60.0" customHeight="1">
      <c r="A63" s="4" t="s">
        <v>506</v>
      </c>
      <c r="B63" s="17" t="s">
        <v>233</v>
      </c>
      <c r="C63" s="17" t="s">
        <v>55</v>
      </c>
      <c r="D63" s="17"/>
      <c r="E63" s="17" t="s">
        <v>898</v>
      </c>
      <c r="F63" s="17" t="s">
        <v>39</v>
      </c>
      <c r="G63" s="17" t="s">
        <v>40</v>
      </c>
      <c r="H63" s="18">
        <v>53.5</v>
      </c>
      <c r="I63" s="17" t="s">
        <v>899</v>
      </c>
      <c r="J63" s="17" t="s">
        <v>898</v>
      </c>
      <c r="K63" s="17" t="s">
        <v>208</v>
      </c>
      <c r="L63" s="17" t="s">
        <v>97</v>
      </c>
      <c r="M63" s="17" t="s">
        <v>98</v>
      </c>
      <c r="N63" s="17" t="s">
        <v>45</v>
      </c>
      <c r="O63" s="17" t="s">
        <v>900</v>
      </c>
      <c r="P63" s="17" t="s">
        <v>64</v>
      </c>
    </row>
    <row r="64" ht="60.0" customHeight="1">
      <c r="A64" s="4" t="s">
        <v>506</v>
      </c>
      <c r="B64" s="17" t="s">
        <v>83</v>
      </c>
      <c r="C64" s="17" t="s">
        <v>55</v>
      </c>
      <c r="D64" s="17"/>
      <c r="E64" s="17" t="s">
        <v>898</v>
      </c>
      <c r="F64" s="17" t="s">
        <v>39</v>
      </c>
      <c r="G64" s="17" t="s">
        <v>40</v>
      </c>
      <c r="H64" s="18">
        <v>53.85</v>
      </c>
      <c r="I64" s="17" t="s">
        <v>901</v>
      </c>
      <c r="J64" s="17" t="s">
        <v>898</v>
      </c>
      <c r="K64" s="17" t="s">
        <v>208</v>
      </c>
      <c r="L64" s="17" t="s">
        <v>97</v>
      </c>
      <c r="M64" s="17" t="s">
        <v>98</v>
      </c>
      <c r="N64" s="17" t="s">
        <v>45</v>
      </c>
      <c r="O64" s="17" t="s">
        <v>902</v>
      </c>
      <c r="P64" s="17" t="s">
        <v>64</v>
      </c>
    </row>
    <row r="65" ht="60.0" customHeight="1">
      <c r="A65" s="4" t="s">
        <v>506</v>
      </c>
      <c r="B65" s="20" t="s">
        <v>233</v>
      </c>
      <c r="C65" s="20" t="s">
        <v>55</v>
      </c>
      <c r="D65" s="20"/>
      <c r="E65" s="20" t="s">
        <v>809</v>
      </c>
      <c r="F65" s="20" t="s">
        <v>39</v>
      </c>
      <c r="G65" s="20" t="s">
        <v>40</v>
      </c>
      <c r="H65" s="21">
        <v>54.01</v>
      </c>
      <c r="I65" s="20" t="s">
        <v>903</v>
      </c>
      <c r="J65" s="20" t="s">
        <v>809</v>
      </c>
      <c r="K65" s="20" t="s">
        <v>60</v>
      </c>
      <c r="L65" s="20" t="s">
        <v>61</v>
      </c>
      <c r="M65" s="20" t="s">
        <v>62</v>
      </c>
      <c r="N65" s="20" t="s">
        <v>45</v>
      </c>
      <c r="O65" s="20" t="s">
        <v>904</v>
      </c>
      <c r="P65" s="20" t="s">
        <v>64</v>
      </c>
    </row>
    <row r="66" ht="60.0" customHeight="1">
      <c r="A66" s="4" t="s">
        <v>506</v>
      </c>
      <c r="B66" s="17" t="s">
        <v>91</v>
      </c>
      <c r="C66" s="17" t="s">
        <v>55</v>
      </c>
      <c r="D66" s="17"/>
      <c r="E66" s="17" t="s">
        <v>809</v>
      </c>
      <c r="F66" s="17" t="s">
        <v>39</v>
      </c>
      <c r="G66" s="17" t="s">
        <v>40</v>
      </c>
      <c r="H66" s="18">
        <v>55.75</v>
      </c>
      <c r="I66" s="17" t="s">
        <v>905</v>
      </c>
      <c r="J66" s="17" t="s">
        <v>809</v>
      </c>
      <c r="K66" s="17" t="s">
        <v>60</v>
      </c>
      <c r="L66" s="17" t="s">
        <v>61</v>
      </c>
      <c r="M66" s="17" t="s">
        <v>62</v>
      </c>
      <c r="N66" s="17" t="s">
        <v>45</v>
      </c>
      <c r="O66" s="17" t="s">
        <v>906</v>
      </c>
      <c r="P66" s="17" t="s">
        <v>64</v>
      </c>
    </row>
    <row r="67" ht="60.0" customHeight="1">
      <c r="A67" s="4" t="s">
        <v>506</v>
      </c>
      <c r="B67" s="20" t="s">
        <v>108</v>
      </c>
      <c r="C67" s="20" t="s">
        <v>55</v>
      </c>
      <c r="D67" s="20"/>
      <c r="E67" s="20" t="s">
        <v>560</v>
      </c>
      <c r="F67" s="20" t="s">
        <v>39</v>
      </c>
      <c r="G67" s="20" t="s">
        <v>40</v>
      </c>
      <c r="H67" s="21">
        <v>57.0</v>
      </c>
      <c r="I67" s="20" t="s">
        <v>910</v>
      </c>
      <c r="J67" s="20" t="s">
        <v>560</v>
      </c>
      <c r="K67" s="20" t="s">
        <v>562</v>
      </c>
      <c r="L67" s="20" t="s">
        <v>326</v>
      </c>
      <c r="M67" s="20" t="s">
        <v>563</v>
      </c>
      <c r="N67" s="20" t="s">
        <v>45</v>
      </c>
      <c r="O67" s="20" t="s">
        <v>911</v>
      </c>
      <c r="P67" s="20" t="s">
        <v>64</v>
      </c>
    </row>
    <row r="68" ht="60.0" customHeight="1">
      <c r="A68" s="4" t="s">
        <v>506</v>
      </c>
      <c r="B68" s="17" t="s">
        <v>37</v>
      </c>
      <c r="C68" s="17" t="s">
        <v>55</v>
      </c>
      <c r="D68" s="17"/>
      <c r="E68" s="17" t="s">
        <v>799</v>
      </c>
      <c r="F68" s="17" t="s">
        <v>39</v>
      </c>
      <c r="G68" s="17" t="s">
        <v>40</v>
      </c>
      <c r="H68" s="18">
        <v>57.0</v>
      </c>
      <c r="I68" s="17" t="s">
        <v>912</v>
      </c>
      <c r="J68" s="17" t="s">
        <v>799</v>
      </c>
      <c r="K68" s="17" t="s">
        <v>801</v>
      </c>
      <c r="L68" s="17" t="s">
        <v>802</v>
      </c>
      <c r="M68" s="17" t="s">
        <v>803</v>
      </c>
      <c r="N68" s="17" t="s">
        <v>45</v>
      </c>
      <c r="O68" s="17" t="s">
        <v>913</v>
      </c>
      <c r="P68" s="17" t="s">
        <v>64</v>
      </c>
    </row>
    <row r="69" ht="60.0" customHeight="1">
      <c r="A69" s="4" t="s">
        <v>506</v>
      </c>
      <c r="B69" s="17" t="s">
        <v>65</v>
      </c>
      <c r="C69" s="17" t="s">
        <v>55</v>
      </c>
      <c r="D69" s="17"/>
      <c r="E69" s="17" t="s">
        <v>560</v>
      </c>
      <c r="F69" s="17" t="s">
        <v>39</v>
      </c>
      <c r="G69" s="17" t="s">
        <v>40</v>
      </c>
      <c r="H69" s="18">
        <v>57.75</v>
      </c>
      <c r="I69" s="17" t="s">
        <v>914</v>
      </c>
      <c r="J69" s="17" t="s">
        <v>560</v>
      </c>
      <c r="K69" s="17" t="s">
        <v>562</v>
      </c>
      <c r="L69" s="17" t="s">
        <v>326</v>
      </c>
      <c r="M69" s="17" t="s">
        <v>563</v>
      </c>
      <c r="N69" s="17" t="s">
        <v>45</v>
      </c>
      <c r="O69" s="17" t="s">
        <v>915</v>
      </c>
      <c r="P69" s="17" t="s">
        <v>64</v>
      </c>
    </row>
    <row r="70" ht="60.0" customHeight="1">
      <c r="A70" s="4" t="s">
        <v>506</v>
      </c>
      <c r="B70" s="20" t="s">
        <v>91</v>
      </c>
      <c r="C70" s="20" t="s">
        <v>55</v>
      </c>
      <c r="D70" s="20"/>
      <c r="E70" s="20" t="s">
        <v>809</v>
      </c>
      <c r="F70" s="20" t="s">
        <v>39</v>
      </c>
      <c r="G70" s="20" t="s">
        <v>40</v>
      </c>
      <c r="H70" s="21">
        <v>57.75</v>
      </c>
      <c r="I70" s="20" t="s">
        <v>916</v>
      </c>
      <c r="J70" s="20" t="s">
        <v>809</v>
      </c>
      <c r="K70" s="20" t="s">
        <v>60</v>
      </c>
      <c r="L70" s="20" t="s">
        <v>61</v>
      </c>
      <c r="M70" s="20" t="s">
        <v>62</v>
      </c>
      <c r="N70" s="20" t="s">
        <v>45</v>
      </c>
      <c r="O70" s="20" t="s">
        <v>917</v>
      </c>
      <c r="P70" s="20" t="s">
        <v>64</v>
      </c>
    </row>
    <row r="71" ht="60.0" customHeight="1">
      <c r="A71" s="4" t="s">
        <v>506</v>
      </c>
      <c r="B71" s="20" t="s">
        <v>37</v>
      </c>
      <c r="C71" s="20" t="s">
        <v>55</v>
      </c>
      <c r="D71" s="20"/>
      <c r="E71" s="20" t="s">
        <v>809</v>
      </c>
      <c r="F71" s="20" t="s">
        <v>39</v>
      </c>
      <c r="G71" s="20" t="s">
        <v>40</v>
      </c>
      <c r="H71" s="21">
        <v>64.75</v>
      </c>
      <c r="I71" s="20" t="s">
        <v>927</v>
      </c>
      <c r="J71" s="20" t="s">
        <v>809</v>
      </c>
      <c r="K71" s="20" t="s">
        <v>60</v>
      </c>
      <c r="L71" s="20" t="s">
        <v>61</v>
      </c>
      <c r="M71" s="20" t="s">
        <v>62</v>
      </c>
      <c r="N71" s="20" t="s">
        <v>45</v>
      </c>
      <c r="O71" s="20" t="s">
        <v>928</v>
      </c>
      <c r="P71" s="20" t="s">
        <v>64</v>
      </c>
    </row>
    <row r="72" ht="60.0" customHeight="1">
      <c r="A72" s="4" t="s">
        <v>506</v>
      </c>
      <c r="B72" s="20" t="s">
        <v>83</v>
      </c>
      <c r="C72" s="20" t="s">
        <v>55</v>
      </c>
      <c r="D72" s="20"/>
      <c r="E72" s="20" t="s">
        <v>929</v>
      </c>
      <c r="F72" s="20" t="s">
        <v>39</v>
      </c>
      <c r="G72" s="20" t="s">
        <v>40</v>
      </c>
      <c r="H72" s="21">
        <v>65.0</v>
      </c>
      <c r="I72" s="20" t="s">
        <v>930</v>
      </c>
      <c r="J72" s="20" t="s">
        <v>929</v>
      </c>
      <c r="K72" s="20" t="s">
        <v>931</v>
      </c>
      <c r="L72" s="20" t="s">
        <v>932</v>
      </c>
      <c r="M72" s="20" t="s">
        <v>933</v>
      </c>
      <c r="N72" s="20" t="s">
        <v>45</v>
      </c>
      <c r="O72" s="20" t="s">
        <v>934</v>
      </c>
      <c r="P72" s="20" t="s">
        <v>935</v>
      </c>
    </row>
    <row r="73" ht="60.0" customHeight="1">
      <c r="A73" s="4" t="s">
        <v>710</v>
      </c>
      <c r="B73" s="17" t="s">
        <v>196</v>
      </c>
      <c r="C73" s="17" t="s">
        <v>55</v>
      </c>
      <c r="D73" s="17"/>
      <c r="E73" s="17" t="s">
        <v>197</v>
      </c>
      <c r="F73" s="17" t="s">
        <v>39</v>
      </c>
      <c r="G73" s="17" t="s">
        <v>40</v>
      </c>
      <c r="H73" s="18">
        <v>67.24</v>
      </c>
      <c r="I73" s="17" t="s">
        <v>940</v>
      </c>
      <c r="J73" s="17" t="s">
        <v>197</v>
      </c>
      <c r="K73" s="17" t="s">
        <v>199</v>
      </c>
      <c r="L73" s="17" t="s">
        <v>200</v>
      </c>
      <c r="M73" s="17" t="s">
        <v>201</v>
      </c>
      <c r="N73" s="17" t="s">
        <v>45</v>
      </c>
      <c r="O73" s="17" t="s">
        <v>941</v>
      </c>
      <c r="P73" s="17" t="s">
        <v>64</v>
      </c>
    </row>
    <row r="74" ht="60.0" customHeight="1">
      <c r="A74" s="4" t="s">
        <v>710</v>
      </c>
      <c r="B74" s="20" t="s">
        <v>233</v>
      </c>
      <c r="C74" s="20" t="s">
        <v>55</v>
      </c>
      <c r="D74" s="20"/>
      <c r="E74" s="20" t="s">
        <v>952</v>
      </c>
      <c r="F74" s="20" t="s">
        <v>39</v>
      </c>
      <c r="G74" s="20" t="s">
        <v>40</v>
      </c>
      <c r="H74" s="21">
        <v>69.46</v>
      </c>
      <c r="I74" s="20" t="s">
        <v>953</v>
      </c>
      <c r="J74" s="20" t="s">
        <v>952</v>
      </c>
      <c r="K74" s="20" t="s">
        <v>954</v>
      </c>
      <c r="L74" s="20" t="s">
        <v>955</v>
      </c>
      <c r="M74" s="20" t="s">
        <v>956</v>
      </c>
      <c r="N74" s="20" t="s">
        <v>45</v>
      </c>
      <c r="O74" s="20" t="s">
        <v>957</v>
      </c>
      <c r="P74" s="20" t="s">
        <v>174</v>
      </c>
    </row>
    <row r="75" ht="60.0" customHeight="1">
      <c r="A75" s="4" t="s">
        <v>506</v>
      </c>
      <c r="B75" s="20" t="s">
        <v>290</v>
      </c>
      <c r="C75" s="20" t="s">
        <v>55</v>
      </c>
      <c r="D75" s="20"/>
      <c r="E75" s="20" t="s">
        <v>560</v>
      </c>
      <c r="F75" s="20" t="s">
        <v>39</v>
      </c>
      <c r="G75" s="20" t="s">
        <v>40</v>
      </c>
      <c r="H75" s="21">
        <v>71.13</v>
      </c>
      <c r="I75" s="20" t="s">
        <v>968</v>
      </c>
      <c r="J75" s="20" t="s">
        <v>560</v>
      </c>
      <c r="K75" s="20" t="s">
        <v>562</v>
      </c>
      <c r="L75" s="20" t="s">
        <v>326</v>
      </c>
      <c r="M75" s="20" t="s">
        <v>563</v>
      </c>
      <c r="N75" s="20" t="s">
        <v>45</v>
      </c>
      <c r="O75" s="20" t="s">
        <v>969</v>
      </c>
      <c r="P75" s="20" t="s">
        <v>64</v>
      </c>
    </row>
    <row r="76" ht="60.0" customHeight="1">
      <c r="A76" s="4" t="s">
        <v>506</v>
      </c>
      <c r="B76" s="20" t="s">
        <v>147</v>
      </c>
      <c r="C76" s="20" t="s">
        <v>55</v>
      </c>
      <c r="D76" s="20"/>
      <c r="E76" s="20" t="s">
        <v>655</v>
      </c>
      <c r="F76" s="20" t="s">
        <v>39</v>
      </c>
      <c r="G76" s="20" t="s">
        <v>40</v>
      </c>
      <c r="H76" s="21">
        <v>78.59</v>
      </c>
      <c r="I76" s="20" t="s">
        <v>980</v>
      </c>
      <c r="J76" s="20" t="s">
        <v>655</v>
      </c>
      <c r="K76" s="20" t="s">
        <v>657</v>
      </c>
      <c r="L76" s="20" t="s">
        <v>371</v>
      </c>
      <c r="M76" s="20" t="s">
        <v>372</v>
      </c>
      <c r="N76" s="20" t="s">
        <v>45</v>
      </c>
      <c r="O76" s="20" t="s">
        <v>981</v>
      </c>
      <c r="P76" s="20" t="s">
        <v>174</v>
      </c>
    </row>
    <row r="77" ht="60.0" customHeight="1">
      <c r="A77" s="4" t="s">
        <v>506</v>
      </c>
      <c r="B77" s="17" t="s">
        <v>183</v>
      </c>
      <c r="C77" s="17" t="s">
        <v>55</v>
      </c>
      <c r="D77" s="17"/>
      <c r="E77" s="17" t="s">
        <v>982</v>
      </c>
      <c r="F77" s="17" t="s">
        <v>39</v>
      </c>
      <c r="G77" s="17" t="s">
        <v>40</v>
      </c>
      <c r="H77" s="18">
        <v>78.94</v>
      </c>
      <c r="I77" s="17" t="s">
        <v>983</v>
      </c>
      <c r="J77" s="17" t="s">
        <v>982</v>
      </c>
      <c r="K77" s="17" t="s">
        <v>984</v>
      </c>
      <c r="L77" s="17" t="s">
        <v>433</v>
      </c>
      <c r="M77" s="17" t="s">
        <v>985</v>
      </c>
      <c r="N77" s="17" t="s">
        <v>45</v>
      </c>
      <c r="O77" s="17" t="s">
        <v>986</v>
      </c>
      <c r="P77" s="17" t="s">
        <v>182</v>
      </c>
    </row>
    <row r="78" ht="60.0" customHeight="1">
      <c r="A78" s="4" t="s">
        <v>506</v>
      </c>
      <c r="B78" s="17" t="s">
        <v>108</v>
      </c>
      <c r="C78" s="17" t="s">
        <v>55</v>
      </c>
      <c r="D78" s="17"/>
      <c r="E78" s="17" t="s">
        <v>560</v>
      </c>
      <c r="F78" s="17" t="s">
        <v>39</v>
      </c>
      <c r="G78" s="17" t="s">
        <v>40</v>
      </c>
      <c r="H78" s="18">
        <v>81.5</v>
      </c>
      <c r="I78" s="17" t="s">
        <v>995</v>
      </c>
      <c r="J78" s="17" t="s">
        <v>560</v>
      </c>
      <c r="K78" s="17" t="s">
        <v>562</v>
      </c>
      <c r="L78" s="17" t="s">
        <v>326</v>
      </c>
      <c r="M78" s="17" t="s">
        <v>563</v>
      </c>
      <c r="N78" s="17" t="s">
        <v>45</v>
      </c>
      <c r="O78" s="17" t="s">
        <v>996</v>
      </c>
      <c r="P78" s="17" t="s">
        <v>64</v>
      </c>
    </row>
    <row r="79" ht="60.0" customHeight="1">
      <c r="A79" s="4" t="s">
        <v>710</v>
      </c>
      <c r="B79" s="17" t="s">
        <v>131</v>
      </c>
      <c r="C79" s="17" t="s">
        <v>55</v>
      </c>
      <c r="D79" s="17"/>
      <c r="E79" s="17" t="s">
        <v>560</v>
      </c>
      <c r="F79" s="17" t="s">
        <v>39</v>
      </c>
      <c r="G79" s="17" t="s">
        <v>40</v>
      </c>
      <c r="H79" s="18">
        <v>81.83</v>
      </c>
      <c r="I79" s="17" t="s">
        <v>997</v>
      </c>
      <c r="J79" s="17" t="s">
        <v>560</v>
      </c>
      <c r="K79" s="17" t="s">
        <v>562</v>
      </c>
      <c r="L79" s="17" t="s">
        <v>326</v>
      </c>
      <c r="M79" s="17" t="s">
        <v>563</v>
      </c>
      <c r="N79" s="17" t="s">
        <v>45</v>
      </c>
      <c r="O79" s="17" t="s">
        <v>998</v>
      </c>
      <c r="P79" s="17" t="s">
        <v>64</v>
      </c>
    </row>
    <row r="80" ht="60.0" customHeight="1">
      <c r="A80" s="4" t="s">
        <v>506</v>
      </c>
      <c r="B80" s="20" t="s">
        <v>196</v>
      </c>
      <c r="C80" s="20" t="s">
        <v>55</v>
      </c>
      <c r="D80" s="20"/>
      <c r="E80" s="20" t="s">
        <v>368</v>
      </c>
      <c r="F80" s="20" t="s">
        <v>39</v>
      </c>
      <c r="G80" s="20" t="s">
        <v>40</v>
      </c>
      <c r="H80" s="21">
        <v>82.11</v>
      </c>
      <c r="I80" s="20" t="s">
        <v>999</v>
      </c>
      <c r="J80" s="20" t="s">
        <v>368</v>
      </c>
      <c r="K80" s="20" t="s">
        <v>370</v>
      </c>
      <c r="L80" s="20" t="s">
        <v>371</v>
      </c>
      <c r="M80" s="20" t="s">
        <v>372</v>
      </c>
      <c r="N80" s="20" t="s">
        <v>45</v>
      </c>
      <c r="O80" s="20" t="s">
        <v>1000</v>
      </c>
      <c r="P80" s="20" t="s">
        <v>182</v>
      </c>
    </row>
    <row r="81" ht="60.0" customHeight="1">
      <c r="A81" s="4" t="s">
        <v>506</v>
      </c>
      <c r="B81" s="20" t="s">
        <v>183</v>
      </c>
      <c r="C81" s="20" t="s">
        <v>55</v>
      </c>
      <c r="D81" s="20"/>
      <c r="E81" s="20" t="s">
        <v>760</v>
      </c>
      <c r="F81" s="20" t="s">
        <v>39</v>
      </c>
      <c r="G81" s="20" t="s">
        <v>40</v>
      </c>
      <c r="H81" s="21">
        <v>83.25</v>
      </c>
      <c r="I81" s="20" t="s">
        <v>1003</v>
      </c>
      <c r="J81" s="20" t="s">
        <v>760</v>
      </c>
      <c r="K81" s="20" t="s">
        <v>762</v>
      </c>
      <c r="L81" s="20" t="s">
        <v>43</v>
      </c>
      <c r="M81" s="20" t="s">
        <v>44</v>
      </c>
      <c r="N81" s="20" t="s">
        <v>45</v>
      </c>
      <c r="O81" s="20" t="s">
        <v>1004</v>
      </c>
      <c r="P81" s="20" t="s">
        <v>64</v>
      </c>
    </row>
    <row r="82" ht="60.0" customHeight="1">
      <c r="A82" s="4" t="s">
        <v>710</v>
      </c>
      <c r="B82" s="17" t="s">
        <v>233</v>
      </c>
      <c r="C82" s="17" t="s">
        <v>55</v>
      </c>
      <c r="D82" s="17"/>
      <c r="E82" s="17" t="s">
        <v>1011</v>
      </c>
      <c r="F82" s="17" t="s">
        <v>39</v>
      </c>
      <c r="G82" s="17" t="s">
        <v>40</v>
      </c>
      <c r="H82" s="18">
        <v>86.3</v>
      </c>
      <c r="I82" s="17" t="s">
        <v>1012</v>
      </c>
      <c r="J82" s="17" t="s">
        <v>1011</v>
      </c>
      <c r="K82" s="17" t="s">
        <v>1013</v>
      </c>
      <c r="L82" s="17" t="s">
        <v>955</v>
      </c>
      <c r="M82" s="17" t="s">
        <v>1014</v>
      </c>
      <c r="N82" s="17" t="s">
        <v>45</v>
      </c>
      <c r="O82" s="17" t="s">
        <v>1015</v>
      </c>
      <c r="P82" s="17" t="s">
        <v>174</v>
      </c>
    </row>
    <row r="83" ht="60.0" customHeight="1">
      <c r="A83" s="4" t="s">
        <v>506</v>
      </c>
      <c r="B83" s="20" t="s">
        <v>196</v>
      </c>
      <c r="C83" s="20" t="s">
        <v>55</v>
      </c>
      <c r="D83" s="20"/>
      <c r="E83" s="20" t="s">
        <v>754</v>
      </c>
      <c r="F83" s="20" t="s">
        <v>39</v>
      </c>
      <c r="G83" s="20" t="s">
        <v>40</v>
      </c>
      <c r="H83" s="21">
        <v>87.0</v>
      </c>
      <c r="I83" s="20" t="s">
        <v>1016</v>
      </c>
      <c r="J83" s="20" t="s">
        <v>754</v>
      </c>
      <c r="K83" s="20" t="s">
        <v>756</v>
      </c>
      <c r="L83" s="20" t="s">
        <v>757</v>
      </c>
      <c r="M83" s="20" t="s">
        <v>758</v>
      </c>
      <c r="N83" s="20" t="s">
        <v>45</v>
      </c>
      <c r="O83" s="20" t="s">
        <v>1017</v>
      </c>
      <c r="P83" s="20" t="s">
        <v>64</v>
      </c>
    </row>
    <row r="84" ht="60.0" customHeight="1">
      <c r="A84" s="4" t="s">
        <v>506</v>
      </c>
      <c r="B84" s="20" t="s">
        <v>147</v>
      </c>
      <c r="C84" s="20" t="s">
        <v>55</v>
      </c>
      <c r="D84" s="20"/>
      <c r="E84" s="20" t="s">
        <v>1020</v>
      </c>
      <c r="F84" s="20" t="s">
        <v>39</v>
      </c>
      <c r="G84" s="20" t="s">
        <v>40</v>
      </c>
      <c r="H84" s="21">
        <v>90.3</v>
      </c>
      <c r="I84" s="20" t="s">
        <v>1021</v>
      </c>
      <c r="J84" s="20" t="s">
        <v>1020</v>
      </c>
      <c r="K84" s="20" t="s">
        <v>1022</v>
      </c>
      <c r="L84" s="20" t="s">
        <v>371</v>
      </c>
      <c r="M84" s="20" t="s">
        <v>372</v>
      </c>
      <c r="N84" s="20" t="s">
        <v>45</v>
      </c>
      <c r="O84" s="20" t="s">
        <v>1023</v>
      </c>
      <c r="P84" s="20" t="s">
        <v>417</v>
      </c>
    </row>
    <row r="85" ht="60.0" customHeight="1">
      <c r="A85" s="4" t="s">
        <v>506</v>
      </c>
      <c r="B85" s="17" t="s">
        <v>196</v>
      </c>
      <c r="C85" s="17" t="s">
        <v>55</v>
      </c>
      <c r="D85" s="17"/>
      <c r="E85" s="17" t="s">
        <v>655</v>
      </c>
      <c r="F85" s="17" t="s">
        <v>39</v>
      </c>
      <c r="G85" s="17" t="s">
        <v>40</v>
      </c>
      <c r="H85" s="18">
        <v>94.74</v>
      </c>
      <c r="I85" s="17" t="s">
        <v>1028</v>
      </c>
      <c r="J85" s="17" t="s">
        <v>655</v>
      </c>
      <c r="K85" s="17" t="s">
        <v>657</v>
      </c>
      <c r="L85" s="17" t="s">
        <v>371</v>
      </c>
      <c r="M85" s="17" t="s">
        <v>372</v>
      </c>
      <c r="N85" s="17" t="s">
        <v>45</v>
      </c>
      <c r="O85" s="17" t="s">
        <v>1029</v>
      </c>
      <c r="P85" s="17" t="s">
        <v>174</v>
      </c>
    </row>
    <row r="86" ht="60.0" customHeight="1">
      <c r="A86" s="4" t="s">
        <v>506</v>
      </c>
      <c r="B86" s="17" t="s">
        <v>83</v>
      </c>
      <c r="C86" s="17" t="s">
        <v>55</v>
      </c>
      <c r="D86" s="17"/>
      <c r="E86" s="17" t="s">
        <v>1030</v>
      </c>
      <c r="F86" s="17" t="s">
        <v>39</v>
      </c>
      <c r="G86" s="17" t="s">
        <v>40</v>
      </c>
      <c r="H86" s="18">
        <v>95.91</v>
      </c>
      <c r="I86" s="17" t="s">
        <v>1031</v>
      </c>
      <c r="J86" s="17" t="s">
        <v>1030</v>
      </c>
      <c r="K86" s="17" t="s">
        <v>1032</v>
      </c>
      <c r="L86" s="17" t="s">
        <v>43</v>
      </c>
      <c r="M86" s="17" t="s">
        <v>44</v>
      </c>
      <c r="N86" s="17" t="s">
        <v>45</v>
      </c>
      <c r="O86" s="17" t="s">
        <v>1033</v>
      </c>
      <c r="P86" s="17" t="s">
        <v>417</v>
      </c>
    </row>
    <row r="87" ht="60.0" customHeight="1">
      <c r="A87" s="4" t="s">
        <v>506</v>
      </c>
      <c r="B87" s="20" t="s">
        <v>156</v>
      </c>
      <c r="C87" s="20" t="s">
        <v>55</v>
      </c>
      <c r="D87" s="20"/>
      <c r="E87" s="20" t="s">
        <v>785</v>
      </c>
      <c r="F87" s="20" t="s">
        <v>39</v>
      </c>
      <c r="G87" s="20" t="s">
        <v>40</v>
      </c>
      <c r="H87" s="21">
        <v>96.68</v>
      </c>
      <c r="I87" s="20" t="s">
        <v>1034</v>
      </c>
      <c r="J87" s="20" t="s">
        <v>785</v>
      </c>
      <c r="K87" s="20" t="s">
        <v>787</v>
      </c>
      <c r="L87" s="20" t="s">
        <v>326</v>
      </c>
      <c r="M87" s="20" t="s">
        <v>563</v>
      </c>
      <c r="N87" s="20" t="s">
        <v>45</v>
      </c>
      <c r="O87" s="20" t="s">
        <v>1035</v>
      </c>
      <c r="P87" s="20" t="s">
        <v>174</v>
      </c>
    </row>
    <row r="88" ht="60.0" customHeight="1">
      <c r="A88" s="4" t="s">
        <v>506</v>
      </c>
      <c r="B88" s="20" t="s">
        <v>183</v>
      </c>
      <c r="C88" s="20" t="s">
        <v>55</v>
      </c>
      <c r="D88" s="20"/>
      <c r="E88" s="20" t="s">
        <v>1044</v>
      </c>
      <c r="F88" s="20" t="s">
        <v>39</v>
      </c>
      <c r="G88" s="20" t="s">
        <v>40</v>
      </c>
      <c r="H88" s="21">
        <v>99.5</v>
      </c>
      <c r="I88" s="20" t="s">
        <v>1045</v>
      </c>
      <c r="J88" s="20" t="s">
        <v>1044</v>
      </c>
      <c r="K88" s="20" t="s">
        <v>208</v>
      </c>
      <c r="L88" s="20" t="s">
        <v>97</v>
      </c>
      <c r="M88" s="20" t="s">
        <v>98</v>
      </c>
      <c r="N88" s="20" t="s">
        <v>45</v>
      </c>
      <c r="O88" s="20" t="s">
        <v>1046</v>
      </c>
      <c r="P88" s="20" t="s">
        <v>64</v>
      </c>
    </row>
    <row r="89" ht="60.0" customHeight="1">
      <c r="A89" s="4" t="s">
        <v>506</v>
      </c>
      <c r="B89" s="17" t="s">
        <v>65</v>
      </c>
      <c r="C89" s="17" t="s">
        <v>55</v>
      </c>
      <c r="D89" s="17"/>
      <c r="E89" s="17" t="s">
        <v>841</v>
      </c>
      <c r="F89" s="17" t="s">
        <v>39</v>
      </c>
      <c r="G89" s="17" t="s">
        <v>40</v>
      </c>
      <c r="H89" s="18">
        <v>101.07</v>
      </c>
      <c r="I89" s="17" t="s">
        <v>1075</v>
      </c>
      <c r="J89" s="17" t="s">
        <v>841</v>
      </c>
      <c r="K89" s="17" t="s">
        <v>199</v>
      </c>
      <c r="L89" s="17" t="s">
        <v>200</v>
      </c>
      <c r="M89" s="17" t="s">
        <v>201</v>
      </c>
      <c r="N89" s="17" t="s">
        <v>45</v>
      </c>
      <c r="O89" s="17" t="s">
        <v>1076</v>
      </c>
      <c r="P89" s="17" t="s">
        <v>64</v>
      </c>
    </row>
    <row r="90" ht="60.0" customHeight="1">
      <c r="A90" s="4" t="s">
        <v>506</v>
      </c>
      <c r="B90" s="20" t="s">
        <v>37</v>
      </c>
      <c r="C90" s="20" t="s">
        <v>55</v>
      </c>
      <c r="D90" s="20"/>
      <c r="E90" s="20" t="s">
        <v>197</v>
      </c>
      <c r="F90" s="20" t="s">
        <v>39</v>
      </c>
      <c r="G90" s="20" t="s">
        <v>40</v>
      </c>
      <c r="H90" s="21">
        <v>102.51</v>
      </c>
      <c r="I90" s="20" t="s">
        <v>1077</v>
      </c>
      <c r="J90" s="20" t="s">
        <v>197</v>
      </c>
      <c r="K90" s="20" t="s">
        <v>199</v>
      </c>
      <c r="L90" s="20" t="s">
        <v>200</v>
      </c>
      <c r="M90" s="20" t="s">
        <v>201</v>
      </c>
      <c r="N90" s="20" t="s">
        <v>45</v>
      </c>
      <c r="O90" s="20" t="s">
        <v>1078</v>
      </c>
      <c r="P90" s="20" t="s">
        <v>64</v>
      </c>
    </row>
    <row r="91" ht="60.0" customHeight="1">
      <c r="A91" s="4" t="s">
        <v>506</v>
      </c>
      <c r="B91" s="20" t="s">
        <v>156</v>
      </c>
      <c r="C91" s="20" t="s">
        <v>55</v>
      </c>
      <c r="D91" s="20"/>
      <c r="E91" s="20" t="s">
        <v>560</v>
      </c>
      <c r="F91" s="20" t="s">
        <v>39</v>
      </c>
      <c r="G91" s="20" t="s">
        <v>40</v>
      </c>
      <c r="H91" s="21">
        <v>107.25</v>
      </c>
      <c r="I91" s="20" t="s">
        <v>1079</v>
      </c>
      <c r="J91" s="20" t="s">
        <v>560</v>
      </c>
      <c r="K91" s="20" t="s">
        <v>562</v>
      </c>
      <c r="L91" s="20" t="s">
        <v>326</v>
      </c>
      <c r="M91" s="20" t="s">
        <v>563</v>
      </c>
      <c r="N91" s="20" t="s">
        <v>45</v>
      </c>
      <c r="O91" s="20" t="s">
        <v>1080</v>
      </c>
      <c r="P91" s="20" t="s">
        <v>64</v>
      </c>
    </row>
    <row r="92" ht="60.0" customHeight="1">
      <c r="A92" s="22" t="s">
        <v>506</v>
      </c>
      <c r="B92" s="20" t="s">
        <v>115</v>
      </c>
      <c r="C92" s="20" t="s">
        <v>55</v>
      </c>
      <c r="D92" s="20"/>
      <c r="E92" s="20" t="s">
        <v>560</v>
      </c>
      <c r="F92" s="20" t="s">
        <v>39</v>
      </c>
      <c r="G92" s="20" t="s">
        <v>40</v>
      </c>
      <c r="H92" s="21">
        <v>114.25</v>
      </c>
      <c r="I92" s="20" t="s">
        <v>1084</v>
      </c>
      <c r="J92" s="20" t="s">
        <v>560</v>
      </c>
      <c r="K92" s="20" t="s">
        <v>562</v>
      </c>
      <c r="L92" s="20" t="s">
        <v>326</v>
      </c>
      <c r="M92" s="20" t="s">
        <v>563</v>
      </c>
      <c r="N92" s="20" t="s">
        <v>45</v>
      </c>
      <c r="O92" s="20" t="s">
        <v>1085</v>
      </c>
      <c r="P92" s="20" t="s">
        <v>64</v>
      </c>
    </row>
    <row r="93" ht="60.0" customHeight="1">
      <c r="A93" s="4" t="s">
        <v>710</v>
      </c>
      <c r="B93" s="17" t="s">
        <v>183</v>
      </c>
      <c r="C93" s="17" t="s">
        <v>55</v>
      </c>
      <c r="D93" s="17"/>
      <c r="E93" s="17" t="s">
        <v>1044</v>
      </c>
      <c r="F93" s="17" t="s">
        <v>39</v>
      </c>
      <c r="G93" s="17" t="s">
        <v>40</v>
      </c>
      <c r="H93" s="18">
        <v>128.0</v>
      </c>
      <c r="I93" s="17" t="s">
        <v>1104</v>
      </c>
      <c r="J93" s="17" t="s">
        <v>1044</v>
      </c>
      <c r="K93" s="17" t="s">
        <v>96</v>
      </c>
      <c r="L93" s="17" t="s">
        <v>97</v>
      </c>
      <c r="M93" s="17" t="s">
        <v>98</v>
      </c>
      <c r="N93" s="17" t="s">
        <v>45</v>
      </c>
      <c r="O93" s="17" t="s">
        <v>1105</v>
      </c>
      <c r="P93" s="17" t="s">
        <v>64</v>
      </c>
    </row>
    <row r="94" ht="60.0" customHeight="1">
      <c r="A94" s="4" t="s">
        <v>710</v>
      </c>
      <c r="B94" s="17" t="s">
        <v>115</v>
      </c>
      <c r="C94" s="17" t="s">
        <v>55</v>
      </c>
      <c r="D94" s="17"/>
      <c r="E94" s="17" t="s">
        <v>1106</v>
      </c>
      <c r="F94" s="17" t="s">
        <v>39</v>
      </c>
      <c r="G94" s="17" t="s">
        <v>40</v>
      </c>
      <c r="H94" s="18">
        <v>130.1</v>
      </c>
      <c r="I94" s="17" t="s">
        <v>1107</v>
      </c>
      <c r="J94" s="17" t="s">
        <v>1106</v>
      </c>
      <c r="K94" s="17" t="s">
        <v>1108</v>
      </c>
      <c r="L94" s="17" t="s">
        <v>633</v>
      </c>
      <c r="M94" s="17" t="s">
        <v>634</v>
      </c>
      <c r="N94" s="17" t="s">
        <v>45</v>
      </c>
      <c r="O94" s="17" t="s">
        <v>1109</v>
      </c>
      <c r="P94" s="17" t="s">
        <v>182</v>
      </c>
    </row>
    <row r="95" ht="60.0" customHeight="1">
      <c r="A95" s="22" t="s">
        <v>710</v>
      </c>
      <c r="B95" s="20" t="s">
        <v>147</v>
      </c>
      <c r="C95" s="20" t="s">
        <v>55</v>
      </c>
      <c r="D95" s="20"/>
      <c r="E95" s="20" t="s">
        <v>1114</v>
      </c>
      <c r="F95" s="20" t="s">
        <v>39</v>
      </c>
      <c r="G95" s="20" t="s">
        <v>40</v>
      </c>
      <c r="H95" s="21">
        <v>142.31</v>
      </c>
      <c r="I95" s="20" t="s">
        <v>1115</v>
      </c>
      <c r="J95" s="20" t="s">
        <v>1114</v>
      </c>
      <c r="K95" s="20" t="s">
        <v>1116</v>
      </c>
      <c r="L95" s="20" t="s">
        <v>371</v>
      </c>
      <c r="M95" s="20" t="s">
        <v>1117</v>
      </c>
      <c r="N95" s="20" t="s">
        <v>45</v>
      </c>
      <c r="O95" s="20" t="s">
        <v>1118</v>
      </c>
      <c r="P95" s="20" t="s">
        <v>1119</v>
      </c>
    </row>
    <row r="96" ht="60.0" customHeight="1">
      <c r="A96" s="4" t="s">
        <v>710</v>
      </c>
      <c r="B96" s="20" t="s">
        <v>65</v>
      </c>
      <c r="C96" s="20" t="s">
        <v>55</v>
      </c>
      <c r="D96" s="20"/>
      <c r="E96" s="20" t="s">
        <v>785</v>
      </c>
      <c r="F96" s="20" t="s">
        <v>39</v>
      </c>
      <c r="G96" s="20" t="s">
        <v>40</v>
      </c>
      <c r="H96" s="21">
        <v>143.49</v>
      </c>
      <c r="I96" s="20" t="s">
        <v>1126</v>
      </c>
      <c r="J96" s="20" t="s">
        <v>785</v>
      </c>
      <c r="K96" s="20" t="s">
        <v>787</v>
      </c>
      <c r="L96" s="20" t="s">
        <v>326</v>
      </c>
      <c r="M96" s="20" t="s">
        <v>563</v>
      </c>
      <c r="N96" s="20" t="s">
        <v>45</v>
      </c>
      <c r="O96" s="20" t="s">
        <v>1127</v>
      </c>
      <c r="P96" s="20" t="s">
        <v>174</v>
      </c>
    </row>
    <row r="97" ht="60.0" customHeight="1">
      <c r="A97" s="4" t="s">
        <v>710</v>
      </c>
      <c r="B97" s="20" t="s">
        <v>100</v>
      </c>
      <c r="C97" s="20" t="s">
        <v>55</v>
      </c>
      <c r="D97" s="20"/>
      <c r="E97" s="20" t="s">
        <v>157</v>
      </c>
      <c r="F97" s="20" t="s">
        <v>39</v>
      </c>
      <c r="G97" s="20" t="s">
        <v>40</v>
      </c>
      <c r="H97" s="21">
        <v>145.06</v>
      </c>
      <c r="I97" s="20" t="s">
        <v>1128</v>
      </c>
      <c r="J97" s="20" t="s">
        <v>159</v>
      </c>
      <c r="K97" s="20" t="s">
        <v>86</v>
      </c>
      <c r="L97" s="20" t="s">
        <v>87</v>
      </c>
      <c r="M97" s="20" t="s">
        <v>88</v>
      </c>
      <c r="N97" s="20" t="s">
        <v>45</v>
      </c>
      <c r="O97" s="20" t="s">
        <v>1129</v>
      </c>
      <c r="P97" s="20" t="s">
        <v>90</v>
      </c>
    </row>
    <row r="98" ht="60.0" customHeight="1">
      <c r="A98" s="4" t="s">
        <v>710</v>
      </c>
      <c r="B98" s="17" t="s">
        <v>147</v>
      </c>
      <c r="C98" s="17" t="s">
        <v>55</v>
      </c>
      <c r="D98" s="17"/>
      <c r="E98" s="17" t="s">
        <v>368</v>
      </c>
      <c r="F98" s="17" t="s">
        <v>39</v>
      </c>
      <c r="G98" s="17" t="s">
        <v>40</v>
      </c>
      <c r="H98" s="18">
        <v>150.54</v>
      </c>
      <c r="I98" s="17" t="s">
        <v>1138</v>
      </c>
      <c r="J98" s="17" t="s">
        <v>368</v>
      </c>
      <c r="K98" s="17" t="s">
        <v>370</v>
      </c>
      <c r="L98" s="17" t="s">
        <v>371</v>
      </c>
      <c r="M98" s="17" t="s">
        <v>372</v>
      </c>
      <c r="N98" s="17" t="s">
        <v>45</v>
      </c>
      <c r="O98" s="17" t="s">
        <v>1139</v>
      </c>
      <c r="P98" s="17" t="s">
        <v>182</v>
      </c>
    </row>
    <row r="99" ht="60.0" customHeight="1">
      <c r="A99" s="4" t="s">
        <v>710</v>
      </c>
      <c r="B99" s="17" t="s">
        <v>233</v>
      </c>
      <c r="C99" s="17" t="s">
        <v>55</v>
      </c>
      <c r="D99" s="17"/>
      <c r="E99" s="17" t="s">
        <v>1140</v>
      </c>
      <c r="F99" s="17" t="s">
        <v>39</v>
      </c>
      <c r="G99" s="17" t="s">
        <v>40</v>
      </c>
      <c r="H99" s="18">
        <v>151.68</v>
      </c>
      <c r="I99" s="17" t="s">
        <v>1141</v>
      </c>
      <c r="J99" s="17" t="s">
        <v>1140</v>
      </c>
      <c r="K99" s="17" t="s">
        <v>1142</v>
      </c>
      <c r="L99" s="17" t="s">
        <v>119</v>
      </c>
      <c r="M99" s="17" t="s">
        <v>231</v>
      </c>
      <c r="N99" s="17" t="s">
        <v>45</v>
      </c>
      <c r="O99" s="17" t="s">
        <v>1143</v>
      </c>
      <c r="P99" s="17" t="s">
        <v>1144</v>
      </c>
    </row>
    <row r="100" ht="60.0" customHeight="1">
      <c r="A100" s="4" t="s">
        <v>710</v>
      </c>
      <c r="B100" s="17" t="s">
        <v>367</v>
      </c>
      <c r="C100" s="17" t="s">
        <v>55</v>
      </c>
      <c r="D100" s="17"/>
      <c r="E100" s="17" t="s">
        <v>1114</v>
      </c>
      <c r="F100" s="17" t="s">
        <v>39</v>
      </c>
      <c r="G100" s="17" t="s">
        <v>40</v>
      </c>
      <c r="H100" s="18">
        <v>160.69</v>
      </c>
      <c r="I100" s="17" t="s">
        <v>1157</v>
      </c>
      <c r="J100" s="17" t="s">
        <v>1114</v>
      </c>
      <c r="K100" s="17" t="s">
        <v>1116</v>
      </c>
      <c r="L100" s="17" t="s">
        <v>371</v>
      </c>
      <c r="M100" s="17" t="s">
        <v>1117</v>
      </c>
      <c r="N100" s="17" t="s">
        <v>45</v>
      </c>
      <c r="O100" s="17" t="s">
        <v>1158</v>
      </c>
      <c r="P100" s="17" t="s">
        <v>1119</v>
      </c>
    </row>
    <row r="101" ht="60.0" customHeight="1">
      <c r="A101" s="4" t="s">
        <v>710</v>
      </c>
      <c r="B101" s="17" t="s">
        <v>37</v>
      </c>
      <c r="C101" s="17" t="s">
        <v>55</v>
      </c>
      <c r="D101" s="17"/>
      <c r="E101" s="17" t="s">
        <v>873</v>
      </c>
      <c r="F101" s="17" t="s">
        <v>39</v>
      </c>
      <c r="G101" s="17" t="s">
        <v>40</v>
      </c>
      <c r="H101" s="18">
        <v>161.3</v>
      </c>
      <c r="I101" s="17" t="s">
        <v>1161</v>
      </c>
      <c r="J101" s="17" t="s">
        <v>873</v>
      </c>
      <c r="K101" s="17" t="s">
        <v>279</v>
      </c>
      <c r="L101" s="17" t="s">
        <v>280</v>
      </c>
      <c r="M101" s="17" t="s">
        <v>281</v>
      </c>
      <c r="N101" s="17" t="s">
        <v>45</v>
      </c>
      <c r="O101" s="17" t="s">
        <v>1162</v>
      </c>
      <c r="P101" s="17" t="s">
        <v>64</v>
      </c>
    </row>
    <row r="102" ht="60.0" customHeight="1">
      <c r="A102" s="4" t="s">
        <v>710</v>
      </c>
      <c r="B102" s="17" t="s">
        <v>37</v>
      </c>
      <c r="C102" s="17" t="s">
        <v>55</v>
      </c>
      <c r="D102" s="17"/>
      <c r="E102" s="17" t="s">
        <v>197</v>
      </c>
      <c r="F102" s="17" t="s">
        <v>39</v>
      </c>
      <c r="G102" s="17" t="s">
        <v>40</v>
      </c>
      <c r="H102" s="18">
        <v>165.98</v>
      </c>
      <c r="I102" s="17" t="s">
        <v>1165</v>
      </c>
      <c r="J102" s="17" t="s">
        <v>197</v>
      </c>
      <c r="K102" s="17" t="s">
        <v>199</v>
      </c>
      <c r="L102" s="17" t="s">
        <v>200</v>
      </c>
      <c r="M102" s="17" t="s">
        <v>201</v>
      </c>
      <c r="N102" s="17" t="s">
        <v>45</v>
      </c>
      <c r="O102" s="17" t="s">
        <v>1166</v>
      </c>
      <c r="P102" s="17" t="s">
        <v>64</v>
      </c>
    </row>
    <row r="103" ht="60.0" customHeight="1">
      <c r="A103" s="4" t="s">
        <v>710</v>
      </c>
      <c r="B103" s="20" t="s">
        <v>108</v>
      </c>
      <c r="C103" s="20" t="s">
        <v>55</v>
      </c>
      <c r="D103" s="20"/>
      <c r="E103" s="20" t="s">
        <v>560</v>
      </c>
      <c r="F103" s="20" t="s">
        <v>39</v>
      </c>
      <c r="G103" s="20" t="s">
        <v>40</v>
      </c>
      <c r="H103" s="21">
        <v>170.0</v>
      </c>
      <c r="I103" s="20" t="s">
        <v>1169</v>
      </c>
      <c r="J103" s="20" t="s">
        <v>560</v>
      </c>
      <c r="K103" s="20" t="s">
        <v>562</v>
      </c>
      <c r="L103" s="20" t="s">
        <v>326</v>
      </c>
      <c r="M103" s="20" t="s">
        <v>563</v>
      </c>
      <c r="N103" s="20" t="s">
        <v>45</v>
      </c>
      <c r="O103" s="20" t="s">
        <v>1170</v>
      </c>
      <c r="P103" s="20" t="s">
        <v>64</v>
      </c>
    </row>
    <row r="104" ht="60.0" customHeight="1">
      <c r="A104" s="22" t="s">
        <v>710</v>
      </c>
      <c r="B104" s="20" t="s">
        <v>65</v>
      </c>
      <c r="C104" s="20" t="s">
        <v>55</v>
      </c>
      <c r="D104" s="20"/>
      <c r="E104" s="20" t="s">
        <v>1200</v>
      </c>
      <c r="F104" s="20" t="s">
        <v>39</v>
      </c>
      <c r="G104" s="20" t="s">
        <v>40</v>
      </c>
      <c r="H104" s="21">
        <v>175.0</v>
      </c>
      <c r="I104" s="20" t="s">
        <v>1201</v>
      </c>
      <c r="J104" s="20" t="s">
        <v>1200</v>
      </c>
      <c r="K104" s="20" t="s">
        <v>208</v>
      </c>
      <c r="L104" s="20" t="s">
        <v>97</v>
      </c>
      <c r="M104" s="20" t="s">
        <v>98</v>
      </c>
      <c r="N104" s="20" t="s">
        <v>45</v>
      </c>
      <c r="O104" s="20" t="s">
        <v>1202</v>
      </c>
      <c r="P104" s="20" t="s">
        <v>64</v>
      </c>
    </row>
    <row r="105" ht="60.0" customHeight="1">
      <c r="A105" s="4" t="s">
        <v>710</v>
      </c>
      <c r="B105" s="20" t="s">
        <v>37</v>
      </c>
      <c r="C105" s="20" t="s">
        <v>55</v>
      </c>
      <c r="D105" s="20"/>
      <c r="E105" s="20" t="s">
        <v>197</v>
      </c>
      <c r="F105" s="20" t="s">
        <v>39</v>
      </c>
      <c r="G105" s="20" t="s">
        <v>40</v>
      </c>
      <c r="H105" s="21">
        <v>175.0</v>
      </c>
      <c r="I105" s="20" t="s">
        <v>1203</v>
      </c>
      <c r="J105" s="20" t="s">
        <v>197</v>
      </c>
      <c r="K105" s="20" t="s">
        <v>199</v>
      </c>
      <c r="L105" s="20" t="s">
        <v>200</v>
      </c>
      <c r="M105" s="20" t="s">
        <v>201</v>
      </c>
      <c r="N105" s="20" t="s">
        <v>45</v>
      </c>
      <c r="O105" s="20" t="s">
        <v>1204</v>
      </c>
      <c r="P105" s="20" t="s">
        <v>64</v>
      </c>
    </row>
    <row r="106" ht="60.0" customHeight="1">
      <c r="A106" s="4" t="s">
        <v>710</v>
      </c>
      <c r="B106" s="17" t="s">
        <v>108</v>
      </c>
      <c r="C106" s="17" t="s">
        <v>55</v>
      </c>
      <c r="D106" s="17"/>
      <c r="E106" s="17" t="s">
        <v>1114</v>
      </c>
      <c r="F106" s="17" t="s">
        <v>39</v>
      </c>
      <c r="G106" s="17" t="s">
        <v>40</v>
      </c>
      <c r="H106" s="18">
        <v>243.24</v>
      </c>
      <c r="I106" s="17" t="s">
        <v>1256</v>
      </c>
      <c r="J106" s="17" t="s">
        <v>1114</v>
      </c>
      <c r="K106" s="17" t="s">
        <v>1116</v>
      </c>
      <c r="L106" s="17" t="s">
        <v>371</v>
      </c>
      <c r="M106" s="17" t="s">
        <v>1117</v>
      </c>
      <c r="N106" s="17" t="s">
        <v>45</v>
      </c>
      <c r="O106" s="17" t="s">
        <v>1257</v>
      </c>
      <c r="P106" s="17" t="s">
        <v>1119</v>
      </c>
    </row>
    <row r="107" ht="60.0" customHeight="1">
      <c r="A107" s="4" t="s">
        <v>710</v>
      </c>
      <c r="B107" s="20" t="s">
        <v>115</v>
      </c>
      <c r="C107" s="20" t="s">
        <v>55</v>
      </c>
      <c r="D107" s="20"/>
      <c r="E107" s="20" t="s">
        <v>1260</v>
      </c>
      <c r="F107" s="20" t="s">
        <v>39</v>
      </c>
      <c r="G107" s="20" t="s">
        <v>40</v>
      </c>
      <c r="H107" s="21">
        <v>255.84</v>
      </c>
      <c r="I107" s="20" t="s">
        <v>1261</v>
      </c>
      <c r="J107" s="20" t="s">
        <v>1260</v>
      </c>
      <c r="K107" s="20" t="s">
        <v>1262</v>
      </c>
      <c r="L107" s="20" t="s">
        <v>687</v>
      </c>
      <c r="M107" s="20" t="s">
        <v>688</v>
      </c>
      <c r="N107" s="20" t="s">
        <v>45</v>
      </c>
      <c r="O107" s="20" t="s">
        <v>1263</v>
      </c>
      <c r="P107" s="20" t="s">
        <v>300</v>
      </c>
    </row>
    <row r="108" ht="60.0" customHeight="1">
      <c r="A108" s="4" t="s">
        <v>710</v>
      </c>
      <c r="B108" s="20" t="s">
        <v>367</v>
      </c>
      <c r="C108" s="20" t="s">
        <v>55</v>
      </c>
      <c r="D108" s="20"/>
      <c r="E108" s="20" t="s">
        <v>1276</v>
      </c>
      <c r="F108" s="20" t="s">
        <v>39</v>
      </c>
      <c r="G108" s="20" t="s">
        <v>40</v>
      </c>
      <c r="H108" s="21">
        <v>262.17</v>
      </c>
      <c r="I108" s="20" t="s">
        <v>1277</v>
      </c>
      <c r="J108" s="20" t="s">
        <v>1276</v>
      </c>
      <c r="K108" s="20" t="s">
        <v>1278</v>
      </c>
      <c r="L108" s="20" t="s">
        <v>1279</v>
      </c>
      <c r="M108" s="20" t="s">
        <v>1280</v>
      </c>
      <c r="N108" s="20" t="s">
        <v>45</v>
      </c>
      <c r="O108" s="20" t="s">
        <v>1281</v>
      </c>
      <c r="P108" s="20" t="s">
        <v>182</v>
      </c>
    </row>
    <row r="109" ht="60.0" customHeight="1">
      <c r="A109" s="4" t="s">
        <v>710</v>
      </c>
      <c r="B109" s="17" t="s">
        <v>65</v>
      </c>
      <c r="C109" s="17" t="s">
        <v>55</v>
      </c>
      <c r="D109" s="17"/>
      <c r="E109" s="17" t="s">
        <v>785</v>
      </c>
      <c r="F109" s="17" t="s">
        <v>39</v>
      </c>
      <c r="G109" s="17" t="s">
        <v>40</v>
      </c>
      <c r="H109" s="18">
        <v>272.63</v>
      </c>
      <c r="I109" s="17" t="s">
        <v>1288</v>
      </c>
      <c r="J109" s="17" t="s">
        <v>785</v>
      </c>
      <c r="K109" s="17" t="s">
        <v>787</v>
      </c>
      <c r="L109" s="17" t="s">
        <v>326</v>
      </c>
      <c r="M109" s="17" t="s">
        <v>563</v>
      </c>
      <c r="N109" s="17" t="s">
        <v>45</v>
      </c>
      <c r="O109" s="17" t="s">
        <v>1289</v>
      </c>
      <c r="P109" s="17" t="s">
        <v>174</v>
      </c>
    </row>
    <row r="110" ht="60.0" customHeight="1">
      <c r="A110" s="4" t="s">
        <v>710</v>
      </c>
      <c r="B110" s="17" t="s">
        <v>290</v>
      </c>
      <c r="C110" s="17" t="s">
        <v>55</v>
      </c>
      <c r="D110" s="17"/>
      <c r="E110" s="17" t="s">
        <v>1290</v>
      </c>
      <c r="F110" s="17" t="s">
        <v>39</v>
      </c>
      <c r="G110" s="17" t="s">
        <v>40</v>
      </c>
      <c r="H110" s="18">
        <v>275.0</v>
      </c>
      <c r="I110" s="17" t="s">
        <v>1291</v>
      </c>
      <c r="J110" s="17" t="s">
        <v>1290</v>
      </c>
      <c r="K110" s="17" t="s">
        <v>756</v>
      </c>
      <c r="L110" s="17" t="s">
        <v>43</v>
      </c>
      <c r="M110" s="17" t="s">
        <v>1292</v>
      </c>
      <c r="N110" s="17" t="s">
        <v>1293</v>
      </c>
      <c r="O110" s="17" t="s">
        <v>1294</v>
      </c>
      <c r="P110" s="17" t="s">
        <v>1295</v>
      </c>
    </row>
    <row r="111" ht="60.0" customHeight="1">
      <c r="A111" s="22" t="s">
        <v>710</v>
      </c>
      <c r="B111" s="20" t="s">
        <v>290</v>
      </c>
      <c r="C111" s="20" t="s">
        <v>55</v>
      </c>
      <c r="D111" s="20"/>
      <c r="E111" s="20" t="s">
        <v>785</v>
      </c>
      <c r="F111" s="20" t="s">
        <v>39</v>
      </c>
      <c r="G111" s="20" t="s">
        <v>40</v>
      </c>
      <c r="H111" s="21">
        <v>293.31</v>
      </c>
      <c r="I111" s="20" t="s">
        <v>1300</v>
      </c>
      <c r="J111" s="20" t="s">
        <v>785</v>
      </c>
      <c r="K111" s="20" t="s">
        <v>787</v>
      </c>
      <c r="L111" s="20" t="s">
        <v>326</v>
      </c>
      <c r="M111" s="20" t="s">
        <v>563</v>
      </c>
      <c r="N111" s="20" t="s">
        <v>45</v>
      </c>
      <c r="O111" s="20" t="s">
        <v>1301</v>
      </c>
      <c r="P111" s="20" t="s">
        <v>174</v>
      </c>
    </row>
    <row r="112" ht="60.0" customHeight="1">
      <c r="A112" s="4" t="s">
        <v>710</v>
      </c>
      <c r="B112" s="17" t="s">
        <v>115</v>
      </c>
      <c r="C112" s="17" t="s">
        <v>55</v>
      </c>
      <c r="D112" s="17"/>
      <c r="E112" s="17" t="s">
        <v>841</v>
      </c>
      <c r="F112" s="17" t="s">
        <v>39</v>
      </c>
      <c r="G112" s="17" t="s">
        <v>40</v>
      </c>
      <c r="H112" s="18">
        <v>314.01</v>
      </c>
      <c r="I112" s="17" t="s">
        <v>1308</v>
      </c>
      <c r="J112" s="17" t="s">
        <v>841</v>
      </c>
      <c r="K112" s="17" t="s">
        <v>199</v>
      </c>
      <c r="L112" s="17" t="s">
        <v>200</v>
      </c>
      <c r="M112" s="17" t="s">
        <v>201</v>
      </c>
      <c r="N112" s="17" t="s">
        <v>45</v>
      </c>
      <c r="O112" s="17" t="s">
        <v>1309</v>
      </c>
      <c r="P112" s="17" t="s">
        <v>64</v>
      </c>
    </row>
    <row r="113" ht="60.0" customHeight="1">
      <c r="A113" s="4" t="s">
        <v>710</v>
      </c>
      <c r="B113" s="17" t="s">
        <v>108</v>
      </c>
      <c r="C113" s="17" t="s">
        <v>55</v>
      </c>
      <c r="D113" s="17"/>
      <c r="E113" s="17" t="s">
        <v>1310</v>
      </c>
      <c r="F113" s="17" t="s">
        <v>39</v>
      </c>
      <c r="G113" s="17" t="s">
        <v>40</v>
      </c>
      <c r="H113" s="18">
        <v>322.29</v>
      </c>
      <c r="I113" s="17" t="s">
        <v>1311</v>
      </c>
      <c r="J113" s="17" t="s">
        <v>1310</v>
      </c>
      <c r="K113" s="17" t="s">
        <v>1312</v>
      </c>
      <c r="L113" s="17" t="s">
        <v>1313</v>
      </c>
      <c r="M113" s="17" t="s">
        <v>1314</v>
      </c>
      <c r="N113" s="17" t="s">
        <v>45</v>
      </c>
      <c r="O113" s="17" t="s">
        <v>1315</v>
      </c>
      <c r="P113" s="17" t="s">
        <v>174</v>
      </c>
    </row>
    <row r="114" ht="60.0" customHeight="1">
      <c r="A114" s="4" t="s">
        <v>710</v>
      </c>
      <c r="B114" s="20" t="s">
        <v>196</v>
      </c>
      <c r="C114" s="20" t="s">
        <v>55</v>
      </c>
      <c r="D114" s="20"/>
      <c r="E114" s="20" t="s">
        <v>1276</v>
      </c>
      <c r="F114" s="20" t="s">
        <v>39</v>
      </c>
      <c r="G114" s="20" t="s">
        <v>40</v>
      </c>
      <c r="H114" s="21">
        <v>331.07</v>
      </c>
      <c r="I114" s="20" t="s">
        <v>1316</v>
      </c>
      <c r="J114" s="20" t="s">
        <v>1276</v>
      </c>
      <c r="K114" s="20" t="s">
        <v>1278</v>
      </c>
      <c r="L114" s="20" t="s">
        <v>1279</v>
      </c>
      <c r="M114" s="20" t="s">
        <v>1280</v>
      </c>
      <c r="N114" s="20" t="s">
        <v>45</v>
      </c>
      <c r="O114" s="20" t="s">
        <v>1317</v>
      </c>
      <c r="P114" s="20" t="s">
        <v>182</v>
      </c>
    </row>
    <row r="115" ht="60.0" customHeight="1">
      <c r="A115" s="4" t="s">
        <v>710</v>
      </c>
      <c r="B115" s="17" t="s">
        <v>196</v>
      </c>
      <c r="C115" s="17" t="s">
        <v>55</v>
      </c>
      <c r="D115" s="17"/>
      <c r="E115" s="17" t="s">
        <v>1318</v>
      </c>
      <c r="F115" s="17" t="s">
        <v>39</v>
      </c>
      <c r="G115" s="17" t="s">
        <v>40</v>
      </c>
      <c r="H115" s="18">
        <v>339.9</v>
      </c>
      <c r="I115" s="17" t="s">
        <v>1319</v>
      </c>
      <c r="J115" s="17" t="s">
        <v>1318</v>
      </c>
      <c r="K115" s="17" t="s">
        <v>1320</v>
      </c>
      <c r="L115" s="17" t="s">
        <v>1321</v>
      </c>
      <c r="M115" s="17" t="s">
        <v>1322</v>
      </c>
      <c r="N115" s="17" t="s">
        <v>45</v>
      </c>
      <c r="O115" s="17" t="s">
        <v>1323</v>
      </c>
      <c r="P115" s="17" t="s">
        <v>74</v>
      </c>
    </row>
    <row r="116" ht="60.0" customHeight="1">
      <c r="A116" s="4" t="s">
        <v>710</v>
      </c>
      <c r="B116" s="17" t="s">
        <v>37</v>
      </c>
      <c r="C116" s="17" t="s">
        <v>55</v>
      </c>
      <c r="D116" s="17"/>
      <c r="E116" s="17" t="s">
        <v>1324</v>
      </c>
      <c r="F116" s="17" t="s">
        <v>39</v>
      </c>
      <c r="G116" s="17" t="s">
        <v>40</v>
      </c>
      <c r="H116" s="18">
        <v>341.1</v>
      </c>
      <c r="I116" s="17" t="s">
        <v>1325</v>
      </c>
      <c r="J116" s="17" t="s">
        <v>1324</v>
      </c>
      <c r="K116" s="17" t="s">
        <v>1326</v>
      </c>
      <c r="L116" s="17" t="s">
        <v>955</v>
      </c>
      <c r="M116" s="17" t="s">
        <v>956</v>
      </c>
      <c r="N116" s="17" t="s">
        <v>45</v>
      </c>
      <c r="O116" s="17" t="s">
        <v>1327</v>
      </c>
      <c r="P116" s="17" t="s">
        <v>182</v>
      </c>
    </row>
    <row r="117" ht="60.0" customHeight="1">
      <c r="A117" s="4" t="s">
        <v>710</v>
      </c>
      <c r="B117" s="17" t="s">
        <v>290</v>
      </c>
      <c r="C117" s="17" t="s">
        <v>55</v>
      </c>
      <c r="D117" s="17"/>
      <c r="E117" s="17" t="s">
        <v>820</v>
      </c>
      <c r="F117" s="17" t="s">
        <v>39</v>
      </c>
      <c r="G117" s="17" t="s">
        <v>40</v>
      </c>
      <c r="H117" s="18">
        <v>364.05</v>
      </c>
      <c r="I117" s="17" t="s">
        <v>1330</v>
      </c>
      <c r="J117" s="17" t="s">
        <v>820</v>
      </c>
      <c r="K117" s="17" t="s">
        <v>822</v>
      </c>
      <c r="L117" s="17" t="s">
        <v>43</v>
      </c>
      <c r="M117" s="17" t="s">
        <v>823</v>
      </c>
      <c r="N117" s="17" t="s">
        <v>45</v>
      </c>
      <c r="O117" s="17" t="s">
        <v>1331</v>
      </c>
      <c r="P117" s="17" t="s">
        <v>182</v>
      </c>
    </row>
    <row r="118" ht="60.0" customHeight="1">
      <c r="A118" s="4" t="s">
        <v>710</v>
      </c>
      <c r="B118" s="20" t="s">
        <v>115</v>
      </c>
      <c r="C118" s="20" t="s">
        <v>55</v>
      </c>
      <c r="D118" s="20"/>
      <c r="E118" s="20" t="s">
        <v>820</v>
      </c>
      <c r="F118" s="20" t="s">
        <v>39</v>
      </c>
      <c r="G118" s="20" t="s">
        <v>40</v>
      </c>
      <c r="H118" s="21">
        <v>394.34</v>
      </c>
      <c r="I118" s="20" t="s">
        <v>1334</v>
      </c>
      <c r="J118" s="20" t="s">
        <v>820</v>
      </c>
      <c r="K118" s="20" t="s">
        <v>822</v>
      </c>
      <c r="L118" s="20" t="s">
        <v>43</v>
      </c>
      <c r="M118" s="20" t="s">
        <v>823</v>
      </c>
      <c r="N118" s="20" t="s">
        <v>45</v>
      </c>
      <c r="O118" s="20" t="s">
        <v>1335</v>
      </c>
      <c r="P118" s="20" t="s">
        <v>182</v>
      </c>
    </row>
    <row r="119" ht="60.0" customHeight="1">
      <c r="A119" s="4" t="s">
        <v>710</v>
      </c>
      <c r="B119" s="17" t="s">
        <v>108</v>
      </c>
      <c r="C119" s="17" t="s">
        <v>55</v>
      </c>
      <c r="D119" s="17"/>
      <c r="E119" s="17" t="s">
        <v>1276</v>
      </c>
      <c r="F119" s="17" t="s">
        <v>39</v>
      </c>
      <c r="G119" s="17" t="s">
        <v>40</v>
      </c>
      <c r="H119" s="18">
        <v>396.19</v>
      </c>
      <c r="I119" s="17" t="s">
        <v>1336</v>
      </c>
      <c r="J119" s="17" t="s">
        <v>1276</v>
      </c>
      <c r="K119" s="17" t="s">
        <v>1278</v>
      </c>
      <c r="L119" s="17" t="s">
        <v>1279</v>
      </c>
      <c r="M119" s="17" t="s">
        <v>1280</v>
      </c>
      <c r="N119" s="17" t="s">
        <v>45</v>
      </c>
      <c r="O119" s="17" t="s">
        <v>1337</v>
      </c>
      <c r="P119" s="17" t="s">
        <v>182</v>
      </c>
    </row>
    <row r="120" ht="60.0" customHeight="1">
      <c r="A120" s="4" t="s">
        <v>710</v>
      </c>
      <c r="B120" s="20" t="s">
        <v>108</v>
      </c>
      <c r="C120" s="20" t="s">
        <v>55</v>
      </c>
      <c r="D120" s="20"/>
      <c r="E120" s="20" t="s">
        <v>1338</v>
      </c>
      <c r="F120" s="20" t="s">
        <v>39</v>
      </c>
      <c r="G120" s="20" t="s">
        <v>40</v>
      </c>
      <c r="H120" s="21">
        <v>414.72</v>
      </c>
      <c r="I120" s="20" t="s">
        <v>1339</v>
      </c>
      <c r="J120" s="20" t="s">
        <v>1338</v>
      </c>
      <c r="K120" s="20" t="s">
        <v>1340</v>
      </c>
      <c r="L120" s="20" t="s">
        <v>371</v>
      </c>
      <c r="M120" s="20" t="s">
        <v>1341</v>
      </c>
      <c r="N120" s="20" t="s">
        <v>45</v>
      </c>
      <c r="O120" s="20" t="s">
        <v>1342</v>
      </c>
      <c r="P120" s="20" t="s">
        <v>308</v>
      </c>
    </row>
    <row r="121" ht="60.0" customHeight="1">
      <c r="A121" s="4" t="s">
        <v>506</v>
      </c>
      <c r="B121" s="17" t="s">
        <v>91</v>
      </c>
      <c r="C121" s="17" t="s">
        <v>55</v>
      </c>
      <c r="D121" s="17"/>
      <c r="E121" s="17" t="s">
        <v>1338</v>
      </c>
      <c r="F121" s="17" t="s">
        <v>39</v>
      </c>
      <c r="G121" s="17" t="s">
        <v>40</v>
      </c>
      <c r="H121" s="18">
        <v>414.72</v>
      </c>
      <c r="I121" s="17" t="s">
        <v>1343</v>
      </c>
      <c r="J121" s="17" t="s">
        <v>1338</v>
      </c>
      <c r="K121" s="17" t="s">
        <v>1340</v>
      </c>
      <c r="L121" s="17" t="s">
        <v>371</v>
      </c>
      <c r="M121" s="17" t="s">
        <v>1341</v>
      </c>
      <c r="N121" s="17" t="s">
        <v>45</v>
      </c>
      <c r="O121" s="17" t="s">
        <v>1344</v>
      </c>
      <c r="P121" s="17" t="s">
        <v>308</v>
      </c>
    </row>
    <row r="122" ht="60.0" customHeight="1">
      <c r="A122" s="4" t="s">
        <v>710</v>
      </c>
      <c r="B122" s="20" t="s">
        <v>65</v>
      </c>
      <c r="C122" s="20" t="s">
        <v>55</v>
      </c>
      <c r="D122" s="20"/>
      <c r="E122" s="20" t="s">
        <v>1338</v>
      </c>
      <c r="F122" s="20" t="s">
        <v>39</v>
      </c>
      <c r="G122" s="20" t="s">
        <v>40</v>
      </c>
      <c r="H122" s="21">
        <v>472.56</v>
      </c>
      <c r="I122" s="20" t="s">
        <v>1350</v>
      </c>
      <c r="J122" s="20" t="s">
        <v>1338</v>
      </c>
      <c r="K122" s="20" t="s">
        <v>1340</v>
      </c>
      <c r="L122" s="20" t="s">
        <v>371</v>
      </c>
      <c r="M122" s="20" t="s">
        <v>1341</v>
      </c>
      <c r="N122" s="20" t="s">
        <v>45</v>
      </c>
      <c r="O122" s="20" t="s">
        <v>1351</v>
      </c>
      <c r="P122" s="20" t="s">
        <v>308</v>
      </c>
    </row>
    <row r="123" ht="60.0" customHeight="1">
      <c r="A123" s="4" t="s">
        <v>710</v>
      </c>
      <c r="B123" s="17" t="s">
        <v>54</v>
      </c>
      <c r="C123" s="17" t="s">
        <v>55</v>
      </c>
      <c r="D123" s="17"/>
      <c r="E123" s="17" t="s">
        <v>430</v>
      </c>
      <c r="F123" s="17" t="s">
        <v>39</v>
      </c>
      <c r="G123" s="17" t="s">
        <v>40</v>
      </c>
      <c r="H123" s="18">
        <v>513.9</v>
      </c>
      <c r="I123" s="17" t="s">
        <v>1353</v>
      </c>
      <c r="J123" s="17" t="s">
        <v>430</v>
      </c>
      <c r="K123" s="17" t="s">
        <v>432</v>
      </c>
      <c r="L123" s="17" t="s">
        <v>433</v>
      </c>
      <c r="M123" s="17" t="s">
        <v>434</v>
      </c>
      <c r="N123" s="17" t="s">
        <v>45</v>
      </c>
      <c r="O123" s="17" t="s">
        <v>1354</v>
      </c>
      <c r="P123" s="17" t="s">
        <v>74</v>
      </c>
    </row>
    <row r="124" ht="60.0" customHeight="1">
      <c r="A124" s="4" t="s">
        <v>710</v>
      </c>
      <c r="B124" s="17" t="s">
        <v>131</v>
      </c>
      <c r="C124" s="17" t="s">
        <v>55</v>
      </c>
      <c r="D124" s="17"/>
      <c r="E124" s="17" t="s">
        <v>1355</v>
      </c>
      <c r="F124" s="17" t="s">
        <v>39</v>
      </c>
      <c r="G124" s="17" t="s">
        <v>40</v>
      </c>
      <c r="H124" s="18">
        <v>525.96</v>
      </c>
      <c r="I124" s="17" t="s">
        <v>1356</v>
      </c>
      <c r="J124" s="17" t="s">
        <v>1355</v>
      </c>
      <c r="K124" s="17" t="s">
        <v>1357</v>
      </c>
      <c r="L124" s="17" t="s">
        <v>371</v>
      </c>
      <c r="M124" s="17" t="s">
        <v>372</v>
      </c>
      <c r="N124" s="17" t="s">
        <v>45</v>
      </c>
      <c r="O124" s="17" t="s">
        <v>1358</v>
      </c>
      <c r="P124" s="17" t="s">
        <v>174</v>
      </c>
    </row>
    <row r="125" ht="60.0" customHeight="1">
      <c r="A125" s="4" t="s">
        <v>710</v>
      </c>
      <c r="B125" s="17" t="s">
        <v>83</v>
      </c>
      <c r="C125" s="17" t="s">
        <v>55</v>
      </c>
      <c r="D125" s="17"/>
      <c r="E125" s="17" t="s">
        <v>820</v>
      </c>
      <c r="F125" s="17" t="s">
        <v>39</v>
      </c>
      <c r="G125" s="17" t="s">
        <v>40</v>
      </c>
      <c r="H125" s="18">
        <v>642.17</v>
      </c>
      <c r="I125" s="17" t="s">
        <v>1359</v>
      </c>
      <c r="J125" s="17" t="s">
        <v>820</v>
      </c>
      <c r="K125" s="17" t="s">
        <v>822</v>
      </c>
      <c r="L125" s="17" t="s">
        <v>43</v>
      </c>
      <c r="M125" s="17" t="s">
        <v>823</v>
      </c>
      <c r="N125" s="17" t="s">
        <v>45</v>
      </c>
      <c r="O125" s="17" t="s">
        <v>1360</v>
      </c>
      <c r="P125" s="17" t="s">
        <v>182</v>
      </c>
    </row>
    <row r="126" ht="60.0" customHeight="1">
      <c r="A126" s="4" t="s">
        <v>710</v>
      </c>
      <c r="B126" s="20" t="s">
        <v>367</v>
      </c>
      <c r="C126" s="20" t="s">
        <v>55</v>
      </c>
      <c r="D126" s="20"/>
      <c r="E126" s="20" t="s">
        <v>1114</v>
      </c>
      <c r="F126" s="20" t="s">
        <v>39</v>
      </c>
      <c r="G126" s="20" t="s">
        <v>40</v>
      </c>
      <c r="H126" s="21">
        <v>1305.7</v>
      </c>
      <c r="I126" s="20" t="s">
        <v>1157</v>
      </c>
      <c r="J126" s="20" t="s">
        <v>1114</v>
      </c>
      <c r="K126" s="20" t="s">
        <v>1116</v>
      </c>
      <c r="L126" s="20" t="s">
        <v>371</v>
      </c>
      <c r="M126" s="20" t="s">
        <v>1117</v>
      </c>
      <c r="N126" s="20" t="s">
        <v>45</v>
      </c>
      <c r="O126" s="20" t="s">
        <v>1372</v>
      </c>
      <c r="P126" s="20" t="s">
        <v>1119</v>
      </c>
    </row>
    <row r="127" ht="60.0" customHeight="1">
      <c r="A127" s="4" t="s">
        <v>710</v>
      </c>
      <c r="B127" s="20" t="s">
        <v>233</v>
      </c>
      <c r="C127" s="20" t="s">
        <v>55</v>
      </c>
      <c r="D127" s="20"/>
      <c r="E127" s="20" t="s">
        <v>436</v>
      </c>
      <c r="F127" s="20" t="s">
        <v>39</v>
      </c>
      <c r="G127" s="20" t="s">
        <v>40</v>
      </c>
      <c r="H127" s="21">
        <v>1583.62</v>
      </c>
      <c r="I127" s="20" t="s">
        <v>1373</v>
      </c>
      <c r="J127" s="20" t="s">
        <v>436</v>
      </c>
      <c r="K127" s="20" t="s">
        <v>438</v>
      </c>
      <c r="L127" s="20" t="s">
        <v>371</v>
      </c>
      <c r="M127" s="20" t="s">
        <v>372</v>
      </c>
      <c r="N127" s="20" t="s">
        <v>45</v>
      </c>
      <c r="O127" s="20" t="s">
        <v>1374</v>
      </c>
      <c r="P127" s="20" t="s">
        <v>174</v>
      </c>
    </row>
    <row r="128" ht="60.0" customHeight="1">
      <c r="A128" s="4" t="s">
        <v>710</v>
      </c>
      <c r="B128" s="17" t="s">
        <v>37</v>
      </c>
      <c r="C128" s="17" t="s">
        <v>55</v>
      </c>
      <c r="D128" s="17"/>
      <c r="E128" s="17" t="s">
        <v>1114</v>
      </c>
      <c r="F128" s="17" t="s">
        <v>39</v>
      </c>
      <c r="G128" s="17" t="s">
        <v>40</v>
      </c>
      <c r="H128" s="18">
        <v>1592.2</v>
      </c>
      <c r="I128" s="17" t="s">
        <v>1375</v>
      </c>
      <c r="J128" s="17" t="s">
        <v>1114</v>
      </c>
      <c r="K128" s="17" t="s">
        <v>1116</v>
      </c>
      <c r="L128" s="17" t="s">
        <v>371</v>
      </c>
      <c r="M128" s="17" t="s">
        <v>1117</v>
      </c>
      <c r="N128" s="17" t="s">
        <v>45</v>
      </c>
      <c r="O128" s="17" t="s">
        <v>1376</v>
      </c>
      <c r="P128" s="17" t="s">
        <v>1119</v>
      </c>
    </row>
    <row r="129" ht="60.0" customHeight="1">
      <c r="A129" s="4" t="s">
        <v>710</v>
      </c>
      <c r="B129" s="20" t="s">
        <v>37</v>
      </c>
      <c r="C129" s="20" t="s">
        <v>55</v>
      </c>
      <c r="D129" s="20"/>
      <c r="E129" s="20" t="s">
        <v>1379</v>
      </c>
      <c r="F129" s="20" t="s">
        <v>39</v>
      </c>
      <c r="G129" s="20" t="s">
        <v>40</v>
      </c>
      <c r="H129" s="21">
        <v>1645.78</v>
      </c>
      <c r="I129" s="20" t="s">
        <v>1380</v>
      </c>
      <c r="J129" s="20" t="s">
        <v>1379</v>
      </c>
      <c r="K129" s="20" t="s">
        <v>1381</v>
      </c>
      <c r="L129" s="20" t="s">
        <v>43</v>
      </c>
      <c r="M129" s="20" t="s">
        <v>421</v>
      </c>
      <c r="N129" s="20" t="s">
        <v>45</v>
      </c>
      <c r="O129" s="20" t="s">
        <v>1382</v>
      </c>
      <c r="P129" s="20" t="s">
        <v>1144</v>
      </c>
    </row>
    <row r="130" ht="15.75" customHeight="1">
      <c r="F130" s="23"/>
      <c r="H130" s="3"/>
    </row>
    <row r="131" ht="15.75" customHeight="1">
      <c r="F131" s="25" t="s">
        <v>14</v>
      </c>
      <c r="H131" s="3">
        <f>SUM(H2:H130)</f>
        <v>23429.37</v>
      </c>
    </row>
    <row r="132" ht="15.75" customHeight="1">
      <c r="H132" s="3"/>
    </row>
    <row r="133" ht="15.75" customHeight="1">
      <c r="F133" s="5" t="s">
        <v>5</v>
      </c>
      <c r="G133" s="5"/>
      <c r="H133" s="11"/>
      <c r="I133" s="5" t="s">
        <v>7</v>
      </c>
      <c r="J133" s="5" t="s">
        <v>8</v>
      </c>
      <c r="K133" s="5" t="s">
        <v>9</v>
      </c>
    </row>
    <row r="134" ht="15.75" customHeight="1">
      <c r="F134" s="7" t="s">
        <v>10</v>
      </c>
      <c r="H134" s="12">
        <f>SUMIF($A$2:$A$129,"no",$H$2:$H$129)</f>
        <v>4151.75</v>
      </c>
      <c r="I134" s="7">
        <f>COUNTIF($A$2:$A$129,"no")</f>
        <v>21</v>
      </c>
      <c r="J134" s="9">
        <f t="shared" ref="J134:K134" si="1">H134/H136</f>
        <v>0.1772028014</v>
      </c>
      <c r="K134" s="9">
        <f t="shared" si="1"/>
        <v>0.1640625</v>
      </c>
    </row>
    <row r="135" ht="15.75" customHeight="1">
      <c r="F135" s="4" t="s">
        <v>11</v>
      </c>
      <c r="H135" s="3">
        <f>SUMIF($A$2:$A$129,"yes",$H$2:$H$129)</f>
        <v>19277.62</v>
      </c>
      <c r="I135" s="4">
        <f>COUNTIF($A$2:$A$129,"yes")</f>
        <v>107</v>
      </c>
      <c r="J135" s="10">
        <f>I135/I136</f>
        <v>0.8359375</v>
      </c>
      <c r="K135" s="10">
        <f>I135/I136</f>
        <v>0.8359375</v>
      </c>
    </row>
    <row r="136" ht="15.75" customHeight="1">
      <c r="F136" s="4" t="s">
        <v>14</v>
      </c>
      <c r="H136" s="3">
        <f t="shared" ref="H136:I136" si="2">SUM(H134:H135)</f>
        <v>23429.37</v>
      </c>
      <c r="I136" s="4">
        <f t="shared" si="2"/>
        <v>128</v>
      </c>
    </row>
    <row r="137" ht="15.75" customHeight="1">
      <c r="H137" s="3"/>
    </row>
    <row r="138" ht="15.75" customHeight="1">
      <c r="H138" s="3"/>
    </row>
    <row r="139" ht="15.75" customHeight="1">
      <c r="H139" s="3"/>
    </row>
    <row r="140" ht="15.75" customHeight="1">
      <c r="H140" s="3"/>
    </row>
    <row r="141" ht="15.75" customHeight="1">
      <c r="H141" s="3"/>
    </row>
    <row r="142" ht="15.75" customHeight="1">
      <c r="H142" s="3"/>
    </row>
    <row r="143" ht="15.75" customHeight="1">
      <c r="H143" s="3"/>
    </row>
    <row r="144" ht="15.75" customHeight="1">
      <c r="H144" s="3"/>
    </row>
    <row r="145" ht="15.75" customHeight="1">
      <c r="H145" s="3"/>
    </row>
    <row r="146" ht="15.75" customHeight="1">
      <c r="H146" s="3"/>
    </row>
    <row r="147" ht="15.75" customHeight="1">
      <c r="H147" s="3"/>
    </row>
    <row r="148" ht="15.75" customHeight="1">
      <c r="H148" s="3"/>
    </row>
    <row r="149" ht="15.75" customHeight="1">
      <c r="H149" s="3"/>
    </row>
    <row r="150" ht="15.75" customHeight="1">
      <c r="H150" s="3"/>
    </row>
    <row r="151" ht="15.75" customHeight="1">
      <c r="H151" s="3"/>
    </row>
    <row r="152" ht="15.75" customHeight="1">
      <c r="H152" s="3"/>
    </row>
    <row r="153" ht="15.75" customHeight="1">
      <c r="H153" s="3"/>
    </row>
    <row r="154" ht="15.75" customHeight="1">
      <c r="H154" s="3"/>
    </row>
    <row r="155" ht="15.75" customHeight="1">
      <c r="H155" s="3"/>
    </row>
    <row r="156" ht="15.75" customHeight="1">
      <c r="H156" s="3"/>
    </row>
    <row r="157" ht="15.75" customHeight="1">
      <c r="H157" s="3"/>
    </row>
    <row r="158" ht="15.75" customHeight="1">
      <c r="H158" s="3"/>
    </row>
    <row r="159" ht="15.75" customHeight="1">
      <c r="H159" s="3"/>
    </row>
    <row r="160" ht="15.75" customHeight="1">
      <c r="H160" s="3"/>
    </row>
    <row r="161" ht="15.75" customHeight="1">
      <c r="H161" s="3"/>
    </row>
    <row r="162" ht="15.75" customHeight="1">
      <c r="H162" s="3"/>
    </row>
    <row r="163" ht="15.75" customHeight="1">
      <c r="H163" s="3"/>
    </row>
    <row r="164" ht="15.75" customHeight="1">
      <c r="H164" s="3"/>
    </row>
    <row r="165" ht="15.75" customHeight="1">
      <c r="H165" s="3"/>
    </row>
    <row r="166" ht="15.75" customHeight="1">
      <c r="H166" s="3"/>
    </row>
    <row r="167" ht="15.75" customHeight="1">
      <c r="H167" s="3"/>
    </row>
    <row r="168" ht="15.75" customHeight="1">
      <c r="H168" s="3"/>
    </row>
    <row r="169" ht="15.75" customHeight="1">
      <c r="H169" s="3"/>
    </row>
    <row r="170" ht="15.75" customHeight="1">
      <c r="H170" s="3"/>
    </row>
    <row r="171" ht="15.75" customHeight="1">
      <c r="H171" s="3"/>
    </row>
    <row r="172" ht="15.75" customHeight="1">
      <c r="H172" s="3"/>
    </row>
    <row r="173" ht="15.75" customHeight="1">
      <c r="H173" s="3"/>
    </row>
    <row r="174" ht="15.75" customHeight="1">
      <c r="H174" s="3"/>
    </row>
    <row r="175" ht="15.75" customHeight="1">
      <c r="H175" s="3"/>
    </row>
    <row r="176" ht="15.75" customHeight="1">
      <c r="H176" s="3"/>
    </row>
    <row r="177" ht="15.75" customHeight="1">
      <c r="H177" s="3"/>
    </row>
    <row r="178" ht="15.75" customHeight="1">
      <c r="H178" s="3"/>
    </row>
    <row r="179" ht="15.75" customHeight="1">
      <c r="H179" s="3"/>
    </row>
    <row r="180" ht="15.75" customHeight="1">
      <c r="H180" s="3"/>
    </row>
    <row r="181" ht="15.75" customHeight="1">
      <c r="H181" s="3"/>
    </row>
    <row r="182" ht="15.75" customHeight="1">
      <c r="H182" s="3"/>
    </row>
    <row r="183" ht="15.75" customHeight="1">
      <c r="H183" s="3"/>
    </row>
    <row r="184" ht="15.75" customHeight="1">
      <c r="H184" s="3"/>
    </row>
    <row r="185" ht="15.75" customHeight="1">
      <c r="H185" s="3"/>
    </row>
    <row r="186" ht="15.75" customHeight="1">
      <c r="H186" s="3"/>
    </row>
    <row r="187" ht="15.75" customHeight="1">
      <c r="H187" s="3"/>
    </row>
    <row r="188" ht="15.75" customHeight="1">
      <c r="H188" s="3"/>
    </row>
    <row r="189" ht="15.75" customHeight="1">
      <c r="H189" s="3"/>
    </row>
    <row r="190" ht="15.75" customHeight="1">
      <c r="H190" s="3"/>
    </row>
    <row r="191" ht="15.75" customHeight="1">
      <c r="H191" s="3"/>
    </row>
    <row r="192" ht="15.75" customHeight="1">
      <c r="H192" s="3"/>
    </row>
    <row r="193" ht="15.75" customHeight="1">
      <c r="H193" s="3"/>
    </row>
    <row r="194" ht="15.75" customHeight="1">
      <c r="H194" s="3"/>
    </row>
    <row r="195" ht="15.75" customHeight="1">
      <c r="H195" s="3"/>
    </row>
    <row r="196" ht="15.75" customHeight="1">
      <c r="H196" s="3"/>
    </row>
    <row r="197" ht="15.75" customHeight="1">
      <c r="H197" s="3"/>
    </row>
    <row r="198" ht="15.75" customHeight="1">
      <c r="H198" s="3"/>
    </row>
    <row r="199" ht="15.75" customHeight="1">
      <c r="H199" s="3"/>
    </row>
    <row r="200" ht="15.75" customHeight="1">
      <c r="H200" s="3"/>
    </row>
    <row r="201" ht="15.75" customHeight="1">
      <c r="H201" s="3"/>
    </row>
    <row r="202" ht="15.75" customHeight="1">
      <c r="H202" s="3"/>
    </row>
    <row r="203" ht="15.75" customHeight="1">
      <c r="H203" s="3"/>
    </row>
    <row r="204" ht="15.75" customHeight="1">
      <c r="H204" s="3"/>
    </row>
    <row r="205" ht="15.75" customHeight="1">
      <c r="H205" s="3"/>
    </row>
    <row r="206" ht="15.75" customHeight="1">
      <c r="H206" s="3"/>
    </row>
    <row r="207" ht="15.75" customHeight="1">
      <c r="H207" s="3"/>
    </row>
    <row r="208" ht="15.75" customHeight="1">
      <c r="H208" s="3"/>
    </row>
    <row r="209" ht="15.75" customHeight="1">
      <c r="H209" s="3"/>
    </row>
    <row r="210" ht="15.75" customHeight="1">
      <c r="H210" s="3"/>
    </row>
    <row r="211" ht="15.75" customHeight="1">
      <c r="H211" s="3"/>
    </row>
    <row r="212" ht="15.75" customHeight="1">
      <c r="H212" s="3"/>
    </row>
    <row r="213" ht="15.75" customHeight="1">
      <c r="H213" s="3"/>
    </row>
    <row r="214" ht="15.75" customHeight="1">
      <c r="H214" s="3"/>
    </row>
    <row r="215" ht="15.75" customHeight="1">
      <c r="H215" s="3"/>
    </row>
    <row r="216" ht="15.75" customHeight="1">
      <c r="H216" s="3"/>
    </row>
    <row r="217" ht="15.75" customHeight="1">
      <c r="H217" s="3"/>
    </row>
    <row r="218" ht="15.75" customHeight="1">
      <c r="H218" s="3"/>
    </row>
    <row r="219" ht="15.75" customHeight="1">
      <c r="H219" s="3"/>
    </row>
    <row r="220" ht="15.75" customHeight="1">
      <c r="H220" s="3"/>
    </row>
    <row r="221" ht="15.75" customHeight="1">
      <c r="H221" s="3"/>
    </row>
    <row r="222" ht="15.75" customHeight="1">
      <c r="H222" s="3"/>
    </row>
    <row r="223" ht="15.75" customHeight="1">
      <c r="H223" s="3"/>
    </row>
    <row r="224" ht="15.75" customHeight="1">
      <c r="H224" s="3"/>
    </row>
    <row r="225" ht="15.75" customHeight="1">
      <c r="H225" s="3"/>
    </row>
    <row r="226" ht="15.75" customHeight="1">
      <c r="H226" s="3"/>
    </row>
    <row r="227" ht="15.75" customHeight="1">
      <c r="H227" s="3"/>
    </row>
    <row r="228" ht="15.75" customHeight="1">
      <c r="H228" s="3"/>
    </row>
    <row r="229" ht="15.75" customHeight="1">
      <c r="H229" s="3"/>
    </row>
    <row r="230" ht="15.75" customHeight="1">
      <c r="H230" s="3"/>
    </row>
    <row r="231" ht="15.75" customHeight="1">
      <c r="H231" s="3"/>
    </row>
    <row r="232" ht="15.75" customHeight="1">
      <c r="H232" s="3"/>
    </row>
    <row r="233" ht="15.75" customHeight="1">
      <c r="H233" s="3"/>
    </row>
    <row r="234" ht="15.75" customHeight="1">
      <c r="H234" s="3"/>
    </row>
    <row r="235" ht="15.75" customHeight="1">
      <c r="H235" s="3"/>
    </row>
    <row r="236" ht="15.75" customHeight="1">
      <c r="H236" s="3"/>
    </row>
    <row r="237" ht="15.75" customHeight="1">
      <c r="H237" s="3"/>
    </row>
    <row r="238" ht="15.75" customHeight="1">
      <c r="H238" s="3"/>
    </row>
    <row r="239" ht="15.75" customHeight="1">
      <c r="H239" s="3"/>
    </row>
    <row r="240" ht="15.75" customHeight="1">
      <c r="H240" s="3"/>
    </row>
    <row r="241" ht="15.75" customHeight="1">
      <c r="H241" s="3"/>
    </row>
    <row r="242" ht="15.75" customHeight="1">
      <c r="H242" s="3"/>
    </row>
    <row r="243" ht="15.75" customHeight="1">
      <c r="H243" s="3"/>
    </row>
    <row r="244" ht="15.75" customHeight="1">
      <c r="H244" s="3"/>
    </row>
    <row r="245" ht="15.75" customHeight="1">
      <c r="H245" s="3"/>
    </row>
    <row r="246" ht="15.75" customHeight="1">
      <c r="H246" s="3"/>
    </row>
    <row r="247" ht="15.75" customHeight="1">
      <c r="H247" s="3"/>
    </row>
    <row r="248" ht="15.75" customHeight="1">
      <c r="H248" s="3"/>
    </row>
    <row r="249" ht="15.75" customHeight="1">
      <c r="H249" s="3"/>
    </row>
    <row r="250" ht="15.75" customHeight="1">
      <c r="H250" s="3"/>
    </row>
    <row r="251" ht="15.75" customHeight="1">
      <c r="H251" s="3"/>
    </row>
    <row r="252" ht="15.75" customHeight="1">
      <c r="H252" s="3"/>
    </row>
    <row r="253" ht="15.75" customHeight="1">
      <c r="H253" s="3"/>
    </row>
    <row r="254" ht="15.75" customHeight="1">
      <c r="H254" s="3"/>
    </row>
    <row r="255" ht="15.75" customHeight="1">
      <c r="H255" s="3"/>
    </row>
    <row r="256" ht="15.75" customHeight="1">
      <c r="H256" s="3"/>
    </row>
    <row r="257" ht="15.75" customHeight="1">
      <c r="H257" s="3"/>
    </row>
    <row r="258" ht="15.75" customHeight="1">
      <c r="H258" s="3"/>
    </row>
    <row r="259" ht="15.75" customHeight="1">
      <c r="H259" s="3"/>
    </row>
    <row r="260" ht="15.75" customHeight="1">
      <c r="H260" s="3"/>
    </row>
    <row r="261" ht="15.75" customHeight="1">
      <c r="H261" s="3"/>
    </row>
    <row r="262" ht="15.75" customHeight="1">
      <c r="H262" s="3"/>
    </row>
    <row r="263" ht="15.75" customHeight="1">
      <c r="H263" s="3"/>
    </row>
    <row r="264" ht="15.75" customHeight="1">
      <c r="H264" s="3"/>
    </row>
    <row r="265" ht="15.75" customHeight="1">
      <c r="H265" s="3"/>
    </row>
    <row r="266" ht="15.75" customHeight="1">
      <c r="H266" s="3"/>
    </row>
    <row r="267" ht="15.75" customHeight="1">
      <c r="H267" s="3"/>
    </row>
    <row r="268" ht="15.75" customHeight="1">
      <c r="H268" s="3"/>
    </row>
    <row r="269" ht="15.75" customHeight="1">
      <c r="H269" s="3"/>
    </row>
    <row r="270" ht="15.75" customHeight="1">
      <c r="H270" s="3"/>
    </row>
    <row r="271" ht="15.75" customHeight="1">
      <c r="H271" s="3"/>
    </row>
    <row r="272" ht="15.75" customHeight="1">
      <c r="H272" s="3"/>
    </row>
    <row r="273" ht="15.75" customHeight="1">
      <c r="H273" s="3"/>
    </row>
    <row r="274" ht="15.75" customHeight="1">
      <c r="H274" s="3"/>
    </row>
    <row r="275" ht="15.75" customHeight="1">
      <c r="H275" s="3"/>
    </row>
    <row r="276" ht="15.75" customHeight="1">
      <c r="H276" s="3"/>
    </row>
    <row r="277" ht="15.75" customHeight="1">
      <c r="H277" s="3"/>
    </row>
    <row r="278" ht="15.75" customHeight="1">
      <c r="H278" s="3"/>
    </row>
    <row r="279" ht="15.75" customHeight="1">
      <c r="H279" s="3"/>
    </row>
    <row r="280" ht="15.75" customHeight="1">
      <c r="H280" s="3"/>
    </row>
    <row r="281" ht="15.75" customHeight="1">
      <c r="H281" s="3"/>
    </row>
    <row r="282" ht="15.75" customHeight="1">
      <c r="H282" s="3"/>
    </row>
    <row r="283" ht="15.75" customHeight="1">
      <c r="H283" s="3"/>
    </row>
    <row r="284" ht="15.75" customHeight="1">
      <c r="H284" s="3"/>
    </row>
    <row r="285" ht="15.75" customHeight="1">
      <c r="H285" s="3"/>
    </row>
    <row r="286" ht="15.75" customHeight="1">
      <c r="H286" s="3"/>
    </row>
    <row r="287" ht="15.75" customHeight="1">
      <c r="H287" s="3"/>
    </row>
    <row r="288" ht="15.75" customHeight="1">
      <c r="H288" s="3"/>
    </row>
    <row r="289" ht="15.75" customHeight="1">
      <c r="H289" s="3"/>
    </row>
    <row r="290" ht="15.75" customHeight="1">
      <c r="H290" s="3"/>
    </row>
    <row r="291" ht="15.75" customHeight="1">
      <c r="H291" s="3"/>
    </row>
    <row r="292" ht="15.75" customHeight="1">
      <c r="H292" s="3"/>
    </row>
    <row r="293" ht="15.75" customHeight="1">
      <c r="H293" s="3"/>
    </row>
    <row r="294" ht="15.75" customHeight="1">
      <c r="H294" s="3"/>
    </row>
    <row r="295" ht="15.75" customHeight="1">
      <c r="H295" s="3"/>
    </row>
    <row r="296" ht="15.75" customHeight="1">
      <c r="H296" s="3"/>
    </row>
    <row r="297" ht="15.75" customHeight="1">
      <c r="H297" s="3"/>
    </row>
    <row r="298" ht="15.75" customHeight="1">
      <c r="H298" s="3"/>
    </row>
    <row r="299" ht="15.75" customHeight="1">
      <c r="H299" s="3"/>
    </row>
    <row r="300" ht="15.75" customHeight="1">
      <c r="H300" s="3"/>
    </row>
    <row r="301" ht="15.75" customHeight="1">
      <c r="H301" s="3"/>
    </row>
    <row r="302" ht="15.75" customHeight="1">
      <c r="H302" s="3"/>
    </row>
    <row r="303" ht="15.75" customHeight="1">
      <c r="H303" s="3"/>
    </row>
    <row r="304" ht="15.75" customHeight="1">
      <c r="H304" s="3"/>
    </row>
    <row r="305" ht="15.75" customHeight="1">
      <c r="H305" s="3"/>
    </row>
    <row r="306" ht="15.75" customHeight="1">
      <c r="H306" s="3"/>
    </row>
    <row r="307" ht="15.75" customHeight="1">
      <c r="H307" s="3"/>
    </row>
    <row r="308" ht="15.75" customHeight="1">
      <c r="H308" s="3"/>
    </row>
    <row r="309" ht="15.75" customHeight="1">
      <c r="H309" s="3"/>
    </row>
    <row r="310" ht="15.75" customHeight="1">
      <c r="H310" s="3"/>
    </row>
    <row r="311" ht="15.75" customHeight="1">
      <c r="H311" s="3"/>
    </row>
    <row r="312" ht="15.75" customHeight="1">
      <c r="H312" s="3"/>
    </row>
    <row r="313" ht="15.75" customHeight="1">
      <c r="H313" s="3"/>
    </row>
    <row r="314" ht="15.75" customHeight="1">
      <c r="H314" s="3"/>
    </row>
    <row r="315" ht="15.75" customHeight="1">
      <c r="H315" s="3"/>
    </row>
    <row r="316" ht="15.75" customHeight="1">
      <c r="H316" s="3"/>
    </row>
    <row r="317" ht="15.75" customHeight="1">
      <c r="H317" s="3"/>
    </row>
    <row r="318" ht="15.75" customHeight="1">
      <c r="H318" s="3"/>
    </row>
    <row r="319" ht="15.75" customHeight="1">
      <c r="H319" s="3"/>
    </row>
    <row r="320" ht="15.75" customHeight="1">
      <c r="H320" s="3"/>
    </row>
    <row r="321" ht="15.75" customHeight="1">
      <c r="H321" s="3"/>
    </row>
    <row r="322" ht="15.75" customHeight="1">
      <c r="H322" s="3"/>
    </row>
    <row r="323" ht="15.75" customHeight="1">
      <c r="H323" s="3"/>
    </row>
    <row r="324" ht="15.75" customHeight="1">
      <c r="H324" s="3"/>
    </row>
    <row r="325" ht="15.75" customHeight="1">
      <c r="H325" s="3"/>
    </row>
    <row r="326" ht="15.75" customHeight="1">
      <c r="H326" s="3"/>
    </row>
    <row r="327" ht="15.75" customHeight="1">
      <c r="H327" s="3"/>
    </row>
    <row r="328" ht="15.75" customHeight="1">
      <c r="H328" s="3"/>
    </row>
    <row r="329" ht="15.75" customHeight="1">
      <c r="H329" s="3"/>
    </row>
    <row r="330" ht="15.75" customHeight="1">
      <c r="H330" s="3"/>
    </row>
    <row r="331" ht="15.75" customHeight="1">
      <c r="H331" s="3"/>
    </row>
    <row r="332" ht="15.75" customHeight="1">
      <c r="H332" s="3"/>
    </row>
    <row r="333" ht="15.75" customHeight="1">
      <c r="H333" s="3"/>
    </row>
    <row r="334" ht="15.75" customHeight="1">
      <c r="H334" s="3"/>
    </row>
    <row r="335" ht="15.75" customHeight="1">
      <c r="H335" s="3"/>
    </row>
    <row r="336" ht="15.75" customHeight="1">
      <c r="H336" s="3"/>
    </row>
    <row r="337" ht="15.75" customHeight="1">
      <c r="H337" s="3"/>
    </row>
    <row r="338" ht="15.75" customHeight="1">
      <c r="H338" s="3"/>
    </row>
    <row r="339" ht="15.75" customHeight="1">
      <c r="H339" s="3"/>
    </row>
    <row r="340" ht="15.75" customHeight="1">
      <c r="H340" s="3"/>
    </row>
    <row r="341" ht="15.75" customHeight="1">
      <c r="H341" s="3"/>
    </row>
    <row r="342" ht="15.75" customHeight="1">
      <c r="H342" s="3"/>
    </row>
    <row r="343" ht="15.75" customHeight="1">
      <c r="H343" s="3"/>
    </row>
    <row r="344" ht="15.75" customHeight="1">
      <c r="H344" s="3"/>
    </row>
    <row r="345" ht="15.75" customHeight="1">
      <c r="H345" s="3"/>
    </row>
    <row r="346" ht="15.75" customHeight="1">
      <c r="H346" s="3"/>
    </row>
    <row r="347" ht="15.75" customHeight="1">
      <c r="H347" s="3"/>
    </row>
    <row r="348" ht="15.75" customHeight="1">
      <c r="H348" s="3"/>
    </row>
    <row r="349" ht="15.75" customHeight="1">
      <c r="H349" s="3"/>
    </row>
    <row r="350" ht="15.75" customHeight="1">
      <c r="H350" s="3"/>
    </row>
    <row r="351" ht="15.75" customHeight="1">
      <c r="H351" s="3"/>
    </row>
    <row r="352" ht="15.75" customHeight="1">
      <c r="H352" s="3"/>
    </row>
    <row r="353" ht="15.75" customHeight="1">
      <c r="H353" s="3"/>
    </row>
    <row r="354" ht="15.75" customHeight="1">
      <c r="H354" s="3"/>
    </row>
    <row r="355" ht="15.75" customHeight="1">
      <c r="H355" s="3"/>
    </row>
    <row r="356" ht="15.75" customHeight="1">
      <c r="H356" s="3"/>
    </row>
    <row r="357" ht="15.75" customHeight="1">
      <c r="H357" s="3"/>
    </row>
    <row r="358" ht="15.75" customHeight="1">
      <c r="H358" s="3"/>
    </row>
    <row r="359" ht="15.75" customHeight="1">
      <c r="H359" s="3"/>
    </row>
    <row r="360" ht="15.75" customHeight="1">
      <c r="H360" s="3"/>
    </row>
    <row r="361" ht="15.75" customHeight="1">
      <c r="H361" s="3"/>
    </row>
    <row r="362" ht="15.75" customHeight="1">
      <c r="H362" s="3"/>
    </row>
    <row r="363" ht="15.75" customHeight="1">
      <c r="H363" s="3"/>
    </row>
    <row r="364" ht="15.75" customHeight="1">
      <c r="H364" s="3"/>
    </row>
    <row r="365" ht="15.75" customHeight="1">
      <c r="H365" s="3"/>
    </row>
    <row r="366" ht="15.75" customHeight="1">
      <c r="H366" s="3"/>
    </row>
    <row r="367" ht="15.75" customHeight="1">
      <c r="H367" s="3"/>
    </row>
    <row r="368" ht="15.75" customHeight="1">
      <c r="H368" s="3"/>
    </row>
    <row r="369" ht="15.75" customHeight="1">
      <c r="H369" s="3"/>
    </row>
    <row r="370" ht="15.75" customHeight="1">
      <c r="H370" s="3"/>
    </row>
    <row r="371" ht="15.75" customHeight="1">
      <c r="H371" s="3"/>
    </row>
    <row r="372" ht="15.75" customHeight="1">
      <c r="H372" s="3"/>
    </row>
    <row r="373" ht="15.75" customHeight="1">
      <c r="H373" s="3"/>
    </row>
    <row r="374" ht="15.75" customHeight="1">
      <c r="H374" s="3"/>
    </row>
    <row r="375" ht="15.75" customHeight="1">
      <c r="H375" s="3"/>
    </row>
    <row r="376" ht="15.75" customHeight="1">
      <c r="H376" s="3"/>
    </row>
    <row r="377" ht="15.75" customHeight="1">
      <c r="H377" s="3"/>
    </row>
    <row r="378" ht="15.75" customHeight="1">
      <c r="H378" s="3"/>
    </row>
    <row r="379" ht="15.75" customHeight="1">
      <c r="H379" s="3"/>
    </row>
    <row r="380" ht="15.75" customHeight="1">
      <c r="H380" s="3"/>
    </row>
    <row r="381" ht="15.75" customHeight="1">
      <c r="H381" s="3"/>
    </row>
    <row r="382" ht="15.75" customHeight="1">
      <c r="H382" s="3"/>
    </row>
    <row r="383" ht="15.75" customHeight="1">
      <c r="H383" s="3"/>
    </row>
    <row r="384" ht="15.75" customHeight="1">
      <c r="H384" s="3"/>
    </row>
    <row r="385" ht="15.75" customHeight="1">
      <c r="H385" s="3"/>
    </row>
    <row r="386" ht="15.75" customHeight="1">
      <c r="H386" s="3"/>
    </row>
    <row r="387" ht="15.75" customHeight="1">
      <c r="H387" s="3"/>
    </row>
    <row r="388" ht="15.75" customHeight="1">
      <c r="H388" s="3"/>
    </row>
    <row r="389" ht="15.75" customHeight="1">
      <c r="H389" s="3"/>
    </row>
    <row r="390" ht="15.75" customHeight="1">
      <c r="H390" s="3"/>
    </row>
    <row r="391" ht="15.75" customHeight="1">
      <c r="H391" s="3"/>
    </row>
    <row r="392" ht="15.75" customHeight="1">
      <c r="H392" s="3"/>
    </row>
    <row r="393" ht="15.75" customHeight="1">
      <c r="H393" s="3"/>
    </row>
    <row r="394" ht="15.75" customHeight="1">
      <c r="H394" s="3"/>
    </row>
    <row r="395" ht="15.75" customHeight="1">
      <c r="H395" s="3"/>
    </row>
    <row r="396" ht="15.75" customHeight="1">
      <c r="H396" s="3"/>
    </row>
    <row r="397" ht="15.75" customHeight="1">
      <c r="H397" s="3"/>
    </row>
    <row r="398" ht="15.75" customHeight="1">
      <c r="H398" s="3"/>
    </row>
    <row r="399" ht="15.75" customHeight="1">
      <c r="H399" s="3"/>
    </row>
    <row r="400" ht="15.75" customHeight="1">
      <c r="H400" s="3"/>
    </row>
    <row r="401" ht="15.75" customHeight="1">
      <c r="H401" s="3"/>
    </row>
    <row r="402" ht="15.75" customHeight="1">
      <c r="H402" s="3"/>
    </row>
    <row r="403" ht="15.75" customHeight="1">
      <c r="H403" s="3"/>
    </row>
    <row r="404" ht="15.75" customHeight="1">
      <c r="H404" s="3"/>
    </row>
    <row r="405" ht="15.75" customHeight="1">
      <c r="H405" s="3"/>
    </row>
    <row r="406" ht="15.75" customHeight="1">
      <c r="H406" s="3"/>
    </row>
    <row r="407" ht="15.75" customHeight="1">
      <c r="H407" s="3"/>
    </row>
    <row r="408" ht="15.75" customHeight="1">
      <c r="H408" s="3"/>
    </row>
    <row r="409" ht="15.75" customHeight="1">
      <c r="H409" s="3"/>
    </row>
    <row r="410" ht="15.75" customHeight="1">
      <c r="H410" s="3"/>
    </row>
    <row r="411" ht="15.75" customHeight="1">
      <c r="H411" s="3"/>
    </row>
    <row r="412" ht="15.75" customHeight="1">
      <c r="H412" s="3"/>
    </row>
    <row r="413" ht="15.75" customHeight="1">
      <c r="H413" s="3"/>
    </row>
    <row r="414" ht="15.75" customHeight="1">
      <c r="H414" s="3"/>
    </row>
    <row r="415" ht="15.75" customHeight="1">
      <c r="H415" s="3"/>
    </row>
    <row r="416" ht="15.75" customHeight="1">
      <c r="H416" s="3"/>
    </row>
    <row r="417" ht="15.75" customHeight="1">
      <c r="H417" s="3"/>
    </row>
    <row r="418" ht="15.75" customHeight="1">
      <c r="H418" s="3"/>
    </row>
    <row r="419" ht="15.75" customHeight="1">
      <c r="H419" s="3"/>
    </row>
    <row r="420" ht="15.75" customHeight="1">
      <c r="H420" s="3"/>
    </row>
    <row r="421" ht="15.75" customHeight="1">
      <c r="H421" s="3"/>
    </row>
    <row r="422" ht="15.75" customHeight="1">
      <c r="H422" s="3"/>
    </row>
    <row r="423" ht="15.75" customHeight="1">
      <c r="H423" s="3"/>
    </row>
    <row r="424" ht="15.75" customHeight="1">
      <c r="H424" s="3"/>
    </row>
    <row r="425" ht="15.75" customHeight="1">
      <c r="H425" s="3"/>
    </row>
    <row r="426" ht="15.75" customHeight="1">
      <c r="H426" s="3"/>
    </row>
    <row r="427" ht="15.75" customHeight="1">
      <c r="H427" s="3"/>
    </row>
    <row r="428" ht="15.75" customHeight="1">
      <c r="H428" s="3"/>
    </row>
    <row r="429" ht="15.75" customHeight="1">
      <c r="H429" s="3"/>
    </row>
    <row r="430" ht="15.75" customHeight="1">
      <c r="H430" s="3"/>
    </row>
    <row r="431" ht="15.75" customHeight="1">
      <c r="H431" s="3"/>
    </row>
    <row r="432" ht="15.75" customHeight="1">
      <c r="H432" s="3"/>
    </row>
    <row r="433" ht="15.75" customHeight="1">
      <c r="H433" s="3"/>
    </row>
    <row r="434" ht="15.75" customHeight="1">
      <c r="H434" s="3"/>
    </row>
    <row r="435" ht="15.75" customHeight="1">
      <c r="H435" s="3"/>
    </row>
    <row r="436" ht="15.75" customHeight="1">
      <c r="H436" s="3"/>
    </row>
    <row r="437" ht="15.75" customHeight="1">
      <c r="H437" s="3"/>
    </row>
    <row r="438" ht="15.75" customHeight="1">
      <c r="H438" s="3"/>
    </row>
    <row r="439" ht="15.75" customHeight="1">
      <c r="H439" s="3"/>
    </row>
    <row r="440" ht="15.75" customHeight="1">
      <c r="H440" s="3"/>
    </row>
    <row r="441" ht="15.75" customHeight="1">
      <c r="H441" s="3"/>
    </row>
    <row r="442" ht="15.75" customHeight="1">
      <c r="H442" s="3"/>
    </row>
    <row r="443" ht="15.75" customHeight="1">
      <c r="H443" s="3"/>
    </row>
    <row r="444" ht="15.75" customHeight="1">
      <c r="H444" s="3"/>
    </row>
    <row r="445" ht="15.75" customHeight="1">
      <c r="H445" s="3"/>
    </row>
    <row r="446" ht="15.75" customHeight="1">
      <c r="H446" s="3"/>
    </row>
    <row r="447" ht="15.75" customHeight="1">
      <c r="H447" s="3"/>
    </row>
    <row r="448" ht="15.75" customHeight="1">
      <c r="H448" s="3"/>
    </row>
    <row r="449" ht="15.75" customHeight="1">
      <c r="H449" s="3"/>
    </row>
    <row r="450" ht="15.75" customHeight="1">
      <c r="H450" s="3"/>
    </row>
    <row r="451" ht="15.75" customHeight="1">
      <c r="H451" s="3"/>
    </row>
    <row r="452" ht="15.75" customHeight="1">
      <c r="H452" s="3"/>
    </row>
    <row r="453" ht="15.75" customHeight="1">
      <c r="H453" s="3"/>
    </row>
    <row r="454" ht="15.75" customHeight="1">
      <c r="H454" s="3"/>
    </row>
    <row r="455" ht="15.75" customHeight="1">
      <c r="H455" s="3"/>
    </row>
    <row r="456" ht="15.75" customHeight="1">
      <c r="H456" s="3"/>
    </row>
    <row r="457" ht="15.75" customHeight="1">
      <c r="H457" s="3"/>
    </row>
    <row r="458" ht="15.75" customHeight="1">
      <c r="H458" s="3"/>
    </row>
    <row r="459" ht="15.75" customHeight="1">
      <c r="H459" s="3"/>
    </row>
    <row r="460" ht="15.75" customHeight="1">
      <c r="H460" s="3"/>
    </row>
    <row r="461" ht="15.75" customHeight="1">
      <c r="H461" s="3"/>
    </row>
    <row r="462" ht="15.75" customHeight="1">
      <c r="H462" s="3"/>
    </row>
    <row r="463" ht="15.75" customHeight="1">
      <c r="H463" s="3"/>
    </row>
    <row r="464" ht="15.75" customHeight="1">
      <c r="H464" s="3"/>
    </row>
    <row r="465" ht="15.75" customHeight="1">
      <c r="H465" s="3"/>
    </row>
    <row r="466" ht="15.75" customHeight="1">
      <c r="H466" s="3"/>
    </row>
    <row r="467" ht="15.75" customHeight="1">
      <c r="H467" s="3"/>
    </row>
    <row r="468" ht="15.75" customHeight="1">
      <c r="H468" s="3"/>
    </row>
    <row r="469" ht="15.75" customHeight="1">
      <c r="H469" s="3"/>
    </row>
    <row r="470" ht="15.75" customHeight="1">
      <c r="H470" s="3"/>
    </row>
    <row r="471" ht="15.75" customHeight="1">
      <c r="H471" s="3"/>
    </row>
    <row r="472" ht="15.75" customHeight="1">
      <c r="H472" s="3"/>
    </row>
    <row r="473" ht="15.75" customHeight="1">
      <c r="H473" s="3"/>
    </row>
    <row r="474" ht="15.75" customHeight="1">
      <c r="H474" s="3"/>
    </row>
    <row r="475" ht="15.75" customHeight="1">
      <c r="H475" s="3"/>
    </row>
    <row r="476" ht="15.75" customHeight="1">
      <c r="H476" s="3"/>
    </row>
    <row r="477" ht="15.75" customHeight="1">
      <c r="H477" s="3"/>
    </row>
    <row r="478" ht="15.75" customHeight="1">
      <c r="H478" s="3"/>
    </row>
    <row r="479" ht="15.75" customHeight="1">
      <c r="H479" s="3"/>
    </row>
    <row r="480" ht="15.75" customHeight="1">
      <c r="H480" s="3"/>
    </row>
    <row r="481" ht="15.75" customHeight="1">
      <c r="H481" s="3"/>
    </row>
    <row r="482" ht="15.75" customHeight="1">
      <c r="H482" s="3"/>
    </row>
    <row r="483" ht="15.75" customHeight="1">
      <c r="H483" s="3"/>
    </row>
    <row r="484" ht="15.75" customHeight="1">
      <c r="H484" s="3"/>
    </row>
    <row r="485" ht="15.75" customHeight="1">
      <c r="H485" s="3"/>
    </row>
    <row r="486" ht="15.75" customHeight="1">
      <c r="H486" s="3"/>
    </row>
    <row r="487" ht="15.75" customHeight="1">
      <c r="H487" s="3"/>
    </row>
    <row r="488" ht="15.75" customHeight="1">
      <c r="H488" s="3"/>
    </row>
    <row r="489" ht="15.75" customHeight="1">
      <c r="H489" s="3"/>
    </row>
    <row r="490" ht="15.75" customHeight="1">
      <c r="H490" s="3"/>
    </row>
    <row r="491" ht="15.75" customHeight="1">
      <c r="H491" s="3"/>
    </row>
    <row r="492" ht="15.75" customHeight="1">
      <c r="H492" s="3"/>
    </row>
    <row r="493" ht="15.75" customHeight="1">
      <c r="H493" s="3"/>
    </row>
    <row r="494" ht="15.75" customHeight="1">
      <c r="H494" s="3"/>
    </row>
    <row r="495" ht="15.75" customHeight="1">
      <c r="H495" s="3"/>
    </row>
    <row r="496" ht="15.75" customHeight="1">
      <c r="H496" s="3"/>
    </row>
    <row r="497" ht="15.75" customHeight="1">
      <c r="H497" s="3"/>
    </row>
    <row r="498" ht="15.75" customHeight="1">
      <c r="H498" s="3"/>
    </row>
    <row r="499" ht="15.75" customHeight="1">
      <c r="H499" s="3"/>
    </row>
    <row r="500" ht="15.75" customHeight="1">
      <c r="H500" s="3"/>
    </row>
    <row r="501" ht="15.75" customHeight="1">
      <c r="H501" s="3"/>
    </row>
    <row r="502" ht="15.75" customHeight="1">
      <c r="H502" s="3"/>
    </row>
    <row r="503" ht="15.75" customHeight="1">
      <c r="H503" s="3"/>
    </row>
    <row r="504" ht="15.75" customHeight="1">
      <c r="H504" s="3"/>
    </row>
    <row r="505" ht="15.75" customHeight="1">
      <c r="H505" s="3"/>
    </row>
    <row r="506" ht="15.75" customHeight="1">
      <c r="H506" s="3"/>
    </row>
    <row r="507" ht="15.75" customHeight="1">
      <c r="H507" s="3"/>
    </row>
    <row r="508" ht="15.75" customHeight="1">
      <c r="H508" s="3"/>
    </row>
    <row r="509" ht="15.75" customHeight="1">
      <c r="H509" s="3"/>
    </row>
    <row r="510" ht="15.75" customHeight="1">
      <c r="H510" s="3"/>
    </row>
    <row r="511" ht="15.75" customHeight="1">
      <c r="H511" s="3"/>
    </row>
    <row r="512" ht="15.75" customHeight="1">
      <c r="H512" s="3"/>
    </row>
    <row r="513" ht="15.75" customHeight="1">
      <c r="H513" s="3"/>
    </row>
    <row r="514" ht="15.75" customHeight="1">
      <c r="H514" s="3"/>
    </row>
    <row r="515" ht="15.75" customHeight="1">
      <c r="H515" s="3"/>
    </row>
    <row r="516" ht="15.75" customHeight="1">
      <c r="H516" s="3"/>
    </row>
    <row r="517" ht="15.75" customHeight="1">
      <c r="H517" s="3"/>
    </row>
    <row r="518" ht="15.75" customHeight="1">
      <c r="H518" s="3"/>
    </row>
    <row r="519" ht="15.75" customHeight="1">
      <c r="H519" s="3"/>
    </row>
    <row r="520" ht="15.75" customHeight="1">
      <c r="H520" s="3"/>
    </row>
    <row r="521" ht="15.75" customHeight="1">
      <c r="H521" s="3"/>
    </row>
    <row r="522" ht="15.75" customHeight="1">
      <c r="H522" s="3"/>
    </row>
    <row r="523" ht="15.75" customHeight="1">
      <c r="H523" s="3"/>
    </row>
    <row r="524" ht="15.75" customHeight="1">
      <c r="H524" s="3"/>
    </row>
    <row r="525" ht="15.75" customHeight="1">
      <c r="H525" s="3"/>
    </row>
    <row r="526" ht="15.75" customHeight="1">
      <c r="H526" s="3"/>
    </row>
    <row r="527" ht="15.75" customHeight="1">
      <c r="H527" s="3"/>
    </row>
    <row r="528" ht="15.75" customHeight="1">
      <c r="H528" s="3"/>
    </row>
    <row r="529" ht="15.75" customHeight="1">
      <c r="H529" s="3"/>
    </row>
    <row r="530" ht="15.75" customHeight="1">
      <c r="H530" s="3"/>
    </row>
    <row r="531" ht="15.75" customHeight="1">
      <c r="H531" s="3"/>
    </row>
    <row r="532" ht="15.75" customHeight="1">
      <c r="H532" s="3"/>
    </row>
    <row r="533" ht="15.75" customHeight="1">
      <c r="H533" s="3"/>
    </row>
    <row r="534" ht="15.75" customHeight="1">
      <c r="H534" s="3"/>
    </row>
    <row r="535" ht="15.75" customHeight="1">
      <c r="H535" s="3"/>
    </row>
    <row r="536" ht="15.75" customHeight="1">
      <c r="H536" s="3"/>
    </row>
    <row r="537" ht="15.75" customHeight="1">
      <c r="H537" s="3"/>
    </row>
    <row r="538" ht="15.75" customHeight="1">
      <c r="H538" s="3"/>
    </row>
    <row r="539" ht="15.75" customHeight="1">
      <c r="H539" s="3"/>
    </row>
    <row r="540" ht="15.75" customHeight="1">
      <c r="H540" s="3"/>
    </row>
    <row r="541" ht="15.75" customHeight="1">
      <c r="H541" s="3"/>
    </row>
    <row r="542" ht="15.75" customHeight="1">
      <c r="H542" s="3"/>
    </row>
    <row r="543" ht="15.75" customHeight="1">
      <c r="H543" s="3"/>
    </row>
    <row r="544" ht="15.75" customHeight="1">
      <c r="H544" s="3"/>
    </row>
    <row r="545" ht="15.75" customHeight="1">
      <c r="H545" s="3"/>
    </row>
    <row r="546" ht="15.75" customHeight="1">
      <c r="H546" s="3"/>
    </row>
    <row r="547" ht="15.75" customHeight="1">
      <c r="H547" s="3"/>
    </row>
    <row r="548" ht="15.75" customHeight="1">
      <c r="H548" s="3"/>
    </row>
    <row r="549" ht="15.75" customHeight="1">
      <c r="H549" s="3"/>
    </row>
    <row r="550" ht="15.75" customHeight="1">
      <c r="H550" s="3"/>
    </row>
    <row r="551" ht="15.75" customHeight="1">
      <c r="H551" s="3"/>
    </row>
    <row r="552" ht="15.75" customHeight="1">
      <c r="H552" s="3"/>
    </row>
    <row r="553" ht="15.75" customHeight="1">
      <c r="H553" s="3"/>
    </row>
    <row r="554" ht="15.75" customHeight="1">
      <c r="H554" s="3"/>
    </row>
    <row r="555" ht="15.75" customHeight="1">
      <c r="H555" s="3"/>
    </row>
    <row r="556" ht="15.75" customHeight="1">
      <c r="H556" s="3"/>
    </row>
    <row r="557" ht="15.75" customHeight="1">
      <c r="H557" s="3"/>
    </row>
    <row r="558" ht="15.75" customHeight="1">
      <c r="H558" s="3"/>
    </row>
    <row r="559" ht="15.75" customHeight="1">
      <c r="H559" s="3"/>
    </row>
    <row r="560" ht="15.75" customHeight="1">
      <c r="H560" s="3"/>
    </row>
    <row r="561" ht="15.75" customHeight="1">
      <c r="H561" s="3"/>
    </row>
    <row r="562" ht="15.75" customHeight="1">
      <c r="H562" s="3"/>
    </row>
    <row r="563" ht="15.75" customHeight="1">
      <c r="H563" s="3"/>
    </row>
    <row r="564" ht="15.75" customHeight="1">
      <c r="H564" s="3"/>
    </row>
    <row r="565" ht="15.75" customHeight="1">
      <c r="H565" s="3"/>
    </row>
    <row r="566" ht="15.75" customHeight="1">
      <c r="H566" s="3"/>
    </row>
    <row r="567" ht="15.75" customHeight="1">
      <c r="H567" s="3"/>
    </row>
    <row r="568" ht="15.75" customHeight="1">
      <c r="H568" s="3"/>
    </row>
    <row r="569" ht="15.75" customHeight="1">
      <c r="H569" s="3"/>
    </row>
    <row r="570" ht="15.75" customHeight="1">
      <c r="H570" s="3"/>
    </row>
    <row r="571" ht="15.75" customHeight="1">
      <c r="H571" s="3"/>
    </row>
    <row r="572" ht="15.75" customHeight="1">
      <c r="H572" s="3"/>
    </row>
    <row r="573" ht="15.75" customHeight="1">
      <c r="H573" s="3"/>
    </row>
    <row r="574" ht="15.75" customHeight="1">
      <c r="H574" s="3"/>
    </row>
    <row r="575" ht="15.75" customHeight="1">
      <c r="H575" s="3"/>
    </row>
    <row r="576" ht="15.75" customHeight="1">
      <c r="H576" s="3"/>
    </row>
    <row r="577" ht="15.75" customHeight="1">
      <c r="H577" s="3"/>
    </row>
    <row r="578" ht="15.75" customHeight="1">
      <c r="H578" s="3"/>
    </row>
    <row r="579" ht="15.75" customHeight="1">
      <c r="H579" s="3"/>
    </row>
    <row r="580" ht="15.75" customHeight="1">
      <c r="H580" s="3"/>
    </row>
    <row r="581" ht="15.75" customHeight="1">
      <c r="H581" s="3"/>
    </row>
    <row r="582" ht="15.75" customHeight="1">
      <c r="H582" s="3"/>
    </row>
    <row r="583" ht="15.75" customHeight="1">
      <c r="H583" s="3"/>
    </row>
    <row r="584" ht="15.75" customHeight="1">
      <c r="H584" s="3"/>
    </row>
    <row r="585" ht="15.75" customHeight="1">
      <c r="H585" s="3"/>
    </row>
    <row r="586" ht="15.75" customHeight="1">
      <c r="H586" s="3"/>
    </row>
    <row r="587" ht="15.75" customHeight="1">
      <c r="H587" s="3"/>
    </row>
    <row r="588" ht="15.75" customHeight="1">
      <c r="H588" s="3"/>
    </row>
    <row r="589" ht="15.75" customHeight="1">
      <c r="H589" s="3"/>
    </row>
    <row r="590" ht="15.75" customHeight="1">
      <c r="H590" s="3"/>
    </row>
    <row r="591" ht="15.75" customHeight="1">
      <c r="H591" s="3"/>
    </row>
    <row r="592" ht="15.75" customHeight="1">
      <c r="H592" s="3"/>
    </row>
    <row r="593" ht="15.75" customHeight="1">
      <c r="H593" s="3"/>
    </row>
    <row r="594" ht="15.75" customHeight="1">
      <c r="H594" s="3"/>
    </row>
    <row r="595" ht="15.75" customHeight="1">
      <c r="H595" s="3"/>
    </row>
    <row r="596" ht="15.75" customHeight="1">
      <c r="H596" s="3"/>
    </row>
    <row r="597" ht="15.75" customHeight="1">
      <c r="H597" s="3"/>
    </row>
    <row r="598" ht="15.75" customHeight="1">
      <c r="H598" s="3"/>
    </row>
    <row r="599" ht="15.75" customHeight="1">
      <c r="H599" s="3"/>
    </row>
    <row r="600" ht="15.75" customHeight="1">
      <c r="H600" s="3"/>
    </row>
    <row r="601" ht="15.75" customHeight="1">
      <c r="H601" s="3"/>
    </row>
    <row r="602" ht="15.75" customHeight="1">
      <c r="H602" s="3"/>
    </row>
    <row r="603" ht="15.75" customHeight="1">
      <c r="H603" s="3"/>
    </row>
    <row r="604" ht="15.75" customHeight="1">
      <c r="H604" s="3"/>
    </row>
    <row r="605" ht="15.75" customHeight="1">
      <c r="H605" s="3"/>
    </row>
    <row r="606" ht="15.75" customHeight="1">
      <c r="H606" s="3"/>
    </row>
    <row r="607" ht="15.75" customHeight="1">
      <c r="H607" s="3"/>
    </row>
    <row r="608" ht="15.75" customHeight="1">
      <c r="H608" s="3"/>
    </row>
    <row r="609" ht="15.75" customHeight="1">
      <c r="H609" s="3"/>
    </row>
    <row r="610" ht="15.75" customHeight="1">
      <c r="H610" s="3"/>
    </row>
    <row r="611" ht="15.75" customHeight="1">
      <c r="H611" s="3"/>
    </row>
    <row r="612" ht="15.75" customHeight="1">
      <c r="H612" s="3"/>
    </row>
    <row r="613" ht="15.75" customHeight="1">
      <c r="H613" s="3"/>
    </row>
    <row r="614" ht="15.75" customHeight="1">
      <c r="H614" s="3"/>
    </row>
    <row r="615" ht="15.75" customHeight="1">
      <c r="H615" s="3"/>
    </row>
    <row r="616" ht="15.75" customHeight="1">
      <c r="H616" s="3"/>
    </row>
    <row r="617" ht="15.75" customHeight="1">
      <c r="H617" s="3"/>
    </row>
    <row r="618" ht="15.75" customHeight="1">
      <c r="H618" s="3"/>
    </row>
    <row r="619" ht="15.75" customHeight="1">
      <c r="H619" s="3"/>
    </row>
    <row r="620" ht="15.75" customHeight="1">
      <c r="H620" s="3"/>
    </row>
    <row r="621" ht="15.75" customHeight="1">
      <c r="H621" s="3"/>
    </row>
    <row r="622" ht="15.75" customHeight="1">
      <c r="H622" s="3"/>
    </row>
    <row r="623" ht="15.75" customHeight="1">
      <c r="H623" s="3"/>
    </row>
    <row r="624" ht="15.75" customHeight="1">
      <c r="H624" s="3"/>
    </row>
    <row r="625" ht="15.75" customHeight="1">
      <c r="H625" s="3"/>
    </row>
    <row r="626" ht="15.75" customHeight="1">
      <c r="H626" s="3"/>
    </row>
    <row r="627" ht="15.75" customHeight="1">
      <c r="H627" s="3"/>
    </row>
    <row r="628" ht="15.75" customHeight="1">
      <c r="H628" s="3"/>
    </row>
    <row r="629" ht="15.75" customHeight="1">
      <c r="H629" s="3"/>
    </row>
    <row r="630" ht="15.75" customHeight="1">
      <c r="H630" s="3"/>
    </row>
    <row r="631" ht="15.75" customHeight="1">
      <c r="H631" s="3"/>
    </row>
    <row r="632" ht="15.75" customHeight="1">
      <c r="H632" s="3"/>
    </row>
    <row r="633" ht="15.75" customHeight="1">
      <c r="H633" s="3"/>
    </row>
    <row r="634" ht="15.75" customHeight="1">
      <c r="H634" s="3"/>
    </row>
    <row r="635" ht="15.75" customHeight="1">
      <c r="H635" s="3"/>
    </row>
    <row r="636" ht="15.75" customHeight="1">
      <c r="H636" s="3"/>
    </row>
    <row r="637" ht="15.75" customHeight="1">
      <c r="H637" s="3"/>
    </row>
    <row r="638" ht="15.75" customHeight="1">
      <c r="H638" s="3"/>
    </row>
    <row r="639" ht="15.75" customHeight="1">
      <c r="H639" s="3"/>
    </row>
    <row r="640" ht="15.75" customHeight="1">
      <c r="H640" s="3"/>
    </row>
    <row r="641" ht="15.75" customHeight="1">
      <c r="H641" s="3"/>
    </row>
    <row r="642" ht="15.75" customHeight="1">
      <c r="H642" s="3"/>
    </row>
    <row r="643" ht="15.75" customHeight="1">
      <c r="H643" s="3"/>
    </row>
    <row r="644" ht="15.75" customHeight="1">
      <c r="H644" s="3"/>
    </row>
    <row r="645" ht="15.75" customHeight="1">
      <c r="H645" s="3"/>
    </row>
    <row r="646" ht="15.75" customHeight="1">
      <c r="H646" s="3"/>
    </row>
    <row r="647" ht="15.75" customHeight="1">
      <c r="H647" s="3"/>
    </row>
    <row r="648" ht="15.75" customHeight="1">
      <c r="H648" s="3"/>
    </row>
    <row r="649" ht="15.75" customHeight="1">
      <c r="H649" s="3"/>
    </row>
    <row r="650" ht="15.75" customHeight="1">
      <c r="H650" s="3"/>
    </row>
    <row r="651" ht="15.75" customHeight="1">
      <c r="H651" s="3"/>
    </row>
    <row r="652" ht="15.75" customHeight="1">
      <c r="H652" s="3"/>
    </row>
    <row r="653" ht="15.75" customHeight="1">
      <c r="H653" s="3"/>
    </row>
    <row r="654" ht="15.75" customHeight="1">
      <c r="H654" s="3"/>
    </row>
    <row r="655" ht="15.75" customHeight="1">
      <c r="H655" s="3"/>
    </row>
    <row r="656" ht="15.75" customHeight="1">
      <c r="H656" s="3"/>
    </row>
    <row r="657" ht="15.75" customHeight="1">
      <c r="H657" s="3"/>
    </row>
    <row r="658" ht="15.75" customHeight="1">
      <c r="H658" s="3"/>
    </row>
    <row r="659" ht="15.75" customHeight="1">
      <c r="H659" s="3"/>
    </row>
    <row r="660" ht="15.75" customHeight="1">
      <c r="H660" s="3"/>
    </row>
    <row r="661" ht="15.75" customHeight="1">
      <c r="H661" s="3"/>
    </row>
    <row r="662" ht="15.75" customHeight="1">
      <c r="H662" s="3"/>
    </row>
    <row r="663" ht="15.75" customHeight="1">
      <c r="H663" s="3"/>
    </row>
    <row r="664" ht="15.75" customHeight="1">
      <c r="H664" s="3"/>
    </row>
    <row r="665" ht="15.75" customHeight="1">
      <c r="H665" s="3"/>
    </row>
    <row r="666" ht="15.75" customHeight="1">
      <c r="H666" s="3"/>
    </row>
    <row r="667" ht="15.75" customHeight="1">
      <c r="H667" s="3"/>
    </row>
    <row r="668" ht="15.75" customHeight="1">
      <c r="H668" s="3"/>
    </row>
    <row r="669" ht="15.75" customHeight="1">
      <c r="H669" s="3"/>
    </row>
    <row r="670" ht="15.75" customHeight="1">
      <c r="H670" s="3"/>
    </row>
    <row r="671" ht="15.75" customHeight="1">
      <c r="H671" s="3"/>
    </row>
    <row r="672" ht="15.75" customHeight="1">
      <c r="H672" s="3"/>
    </row>
    <row r="673" ht="15.75" customHeight="1">
      <c r="H673" s="3"/>
    </row>
    <row r="674" ht="15.75" customHeight="1">
      <c r="H674" s="3"/>
    </row>
    <row r="675" ht="15.75" customHeight="1">
      <c r="H675" s="3"/>
    </row>
    <row r="676" ht="15.75" customHeight="1">
      <c r="H676" s="3"/>
    </row>
    <row r="677" ht="15.75" customHeight="1">
      <c r="H677" s="3"/>
    </row>
    <row r="678" ht="15.75" customHeight="1">
      <c r="H678" s="3"/>
    </row>
    <row r="679" ht="15.75" customHeight="1">
      <c r="H679" s="3"/>
    </row>
    <row r="680" ht="15.75" customHeight="1">
      <c r="H680" s="3"/>
    </row>
    <row r="681" ht="15.75" customHeight="1">
      <c r="H681" s="3"/>
    </row>
    <row r="682" ht="15.75" customHeight="1">
      <c r="H682" s="3"/>
    </row>
    <row r="683" ht="15.75" customHeight="1">
      <c r="H683" s="3"/>
    </row>
    <row r="684" ht="15.75" customHeight="1">
      <c r="H684" s="3"/>
    </row>
    <row r="685" ht="15.75" customHeight="1">
      <c r="H685" s="3"/>
    </row>
    <row r="686" ht="15.75" customHeight="1">
      <c r="H686" s="3"/>
    </row>
    <row r="687" ht="15.75" customHeight="1">
      <c r="H687" s="3"/>
    </row>
    <row r="688" ht="15.75" customHeight="1">
      <c r="H688" s="3"/>
    </row>
    <row r="689" ht="15.75" customHeight="1">
      <c r="H689" s="3"/>
    </row>
    <row r="690" ht="15.75" customHeight="1">
      <c r="H690" s="3"/>
    </row>
    <row r="691" ht="15.75" customHeight="1">
      <c r="H691" s="3"/>
    </row>
    <row r="692" ht="15.75" customHeight="1">
      <c r="H692" s="3"/>
    </row>
    <row r="693" ht="15.75" customHeight="1">
      <c r="H693" s="3"/>
    </row>
    <row r="694" ht="15.75" customHeight="1">
      <c r="H694" s="3"/>
    </row>
    <row r="695" ht="15.75" customHeight="1">
      <c r="H695" s="3"/>
    </row>
    <row r="696" ht="15.75" customHeight="1">
      <c r="H696" s="3"/>
    </row>
    <row r="697" ht="15.75" customHeight="1">
      <c r="H697" s="3"/>
    </row>
    <row r="698" ht="15.75" customHeight="1">
      <c r="H698" s="3"/>
    </row>
    <row r="699" ht="15.75" customHeight="1">
      <c r="H699" s="3"/>
    </row>
    <row r="700" ht="15.75" customHeight="1">
      <c r="H700" s="3"/>
    </row>
    <row r="701" ht="15.75" customHeight="1">
      <c r="H701" s="3"/>
    </row>
    <row r="702" ht="15.75" customHeight="1">
      <c r="H702" s="3"/>
    </row>
    <row r="703" ht="15.75" customHeight="1">
      <c r="H703" s="3"/>
    </row>
    <row r="704" ht="15.75" customHeight="1">
      <c r="H704" s="3"/>
    </row>
    <row r="705" ht="15.75" customHeight="1">
      <c r="H705" s="3"/>
    </row>
    <row r="706" ht="15.75" customHeight="1">
      <c r="H706" s="3"/>
    </row>
    <row r="707" ht="15.75" customHeight="1">
      <c r="H707" s="3"/>
    </row>
    <row r="708" ht="15.75" customHeight="1">
      <c r="H708" s="3"/>
    </row>
    <row r="709" ht="15.75" customHeight="1">
      <c r="H709" s="3"/>
    </row>
    <row r="710" ht="15.75" customHeight="1">
      <c r="H710" s="3"/>
    </row>
    <row r="711" ht="15.75" customHeight="1">
      <c r="H711" s="3"/>
    </row>
    <row r="712" ht="15.75" customHeight="1">
      <c r="H712" s="3"/>
    </row>
    <row r="713" ht="15.75" customHeight="1">
      <c r="H713" s="3"/>
    </row>
    <row r="714" ht="15.75" customHeight="1">
      <c r="H714" s="3"/>
    </row>
    <row r="715" ht="15.75" customHeight="1">
      <c r="H715" s="3"/>
    </row>
    <row r="716" ht="15.75" customHeight="1">
      <c r="H716" s="3"/>
    </row>
    <row r="717" ht="15.75" customHeight="1">
      <c r="H717" s="3"/>
    </row>
    <row r="718" ht="15.75" customHeight="1">
      <c r="H718" s="3"/>
    </row>
    <row r="719" ht="15.75" customHeight="1">
      <c r="H719" s="3"/>
    </row>
    <row r="720" ht="15.75" customHeight="1">
      <c r="H720" s="3"/>
    </row>
    <row r="721" ht="15.75" customHeight="1">
      <c r="H721" s="3"/>
    </row>
    <row r="722" ht="15.75" customHeight="1">
      <c r="H722" s="3"/>
    </row>
    <row r="723" ht="15.75" customHeight="1">
      <c r="H723" s="3"/>
    </row>
    <row r="724" ht="15.75" customHeight="1">
      <c r="H724" s="3"/>
    </row>
    <row r="725" ht="15.75" customHeight="1">
      <c r="H725" s="3"/>
    </row>
    <row r="726" ht="15.75" customHeight="1">
      <c r="H726" s="3"/>
    </row>
    <row r="727" ht="15.75" customHeight="1">
      <c r="H727" s="3"/>
    </row>
    <row r="728" ht="15.75" customHeight="1">
      <c r="H728" s="3"/>
    </row>
    <row r="729" ht="15.75" customHeight="1">
      <c r="H729" s="3"/>
    </row>
    <row r="730" ht="15.75" customHeight="1">
      <c r="H730" s="3"/>
    </row>
    <row r="731" ht="15.75" customHeight="1">
      <c r="H731" s="3"/>
    </row>
    <row r="732" ht="15.75" customHeight="1">
      <c r="H732" s="3"/>
    </row>
    <row r="733" ht="15.75" customHeight="1">
      <c r="H733" s="3"/>
    </row>
    <row r="734" ht="15.75" customHeight="1">
      <c r="H734" s="3"/>
    </row>
    <row r="735" ht="15.75" customHeight="1">
      <c r="H735" s="3"/>
    </row>
    <row r="736" ht="15.75" customHeight="1">
      <c r="H736" s="3"/>
    </row>
    <row r="737" ht="15.75" customHeight="1">
      <c r="H737" s="3"/>
    </row>
    <row r="738" ht="15.75" customHeight="1">
      <c r="H738" s="3"/>
    </row>
    <row r="739" ht="15.75" customHeight="1">
      <c r="H739" s="3"/>
    </row>
    <row r="740" ht="15.75" customHeight="1">
      <c r="H740" s="3"/>
    </row>
    <row r="741" ht="15.75" customHeight="1">
      <c r="H741" s="3"/>
    </row>
    <row r="742" ht="15.75" customHeight="1">
      <c r="H742" s="3"/>
    </row>
    <row r="743" ht="15.75" customHeight="1">
      <c r="H743" s="3"/>
    </row>
    <row r="744" ht="15.75" customHeight="1">
      <c r="H744" s="3"/>
    </row>
    <row r="745" ht="15.75" customHeight="1">
      <c r="H745" s="3"/>
    </row>
    <row r="746" ht="15.75" customHeight="1">
      <c r="H746" s="3"/>
    </row>
    <row r="747" ht="15.75" customHeight="1">
      <c r="H747" s="3"/>
    </row>
    <row r="748" ht="15.75" customHeight="1">
      <c r="H748" s="3"/>
    </row>
    <row r="749" ht="15.75" customHeight="1">
      <c r="H749" s="3"/>
    </row>
    <row r="750" ht="15.75" customHeight="1">
      <c r="H750" s="3"/>
    </row>
    <row r="751" ht="15.75" customHeight="1">
      <c r="H751" s="3"/>
    </row>
    <row r="752" ht="15.75" customHeight="1">
      <c r="H752" s="3"/>
    </row>
    <row r="753" ht="15.75" customHeight="1">
      <c r="H753" s="3"/>
    </row>
    <row r="754" ht="15.75" customHeight="1">
      <c r="H754" s="3"/>
    </row>
    <row r="755" ht="15.75" customHeight="1">
      <c r="H755" s="3"/>
    </row>
    <row r="756" ht="15.75" customHeight="1">
      <c r="H756" s="3"/>
    </row>
    <row r="757" ht="15.75" customHeight="1">
      <c r="H757" s="3"/>
    </row>
    <row r="758" ht="15.75" customHeight="1">
      <c r="H758" s="3"/>
    </row>
    <row r="759" ht="15.75" customHeight="1">
      <c r="H759" s="3"/>
    </row>
    <row r="760" ht="15.75" customHeight="1">
      <c r="H760" s="3"/>
    </row>
    <row r="761" ht="15.75" customHeight="1">
      <c r="H761" s="3"/>
    </row>
    <row r="762" ht="15.75" customHeight="1">
      <c r="H762" s="3"/>
    </row>
    <row r="763" ht="15.75" customHeight="1">
      <c r="H763" s="3"/>
    </row>
    <row r="764" ht="15.75" customHeight="1">
      <c r="H764" s="3"/>
    </row>
    <row r="765" ht="15.75" customHeight="1">
      <c r="H765" s="3"/>
    </row>
    <row r="766" ht="15.75" customHeight="1">
      <c r="H766" s="3"/>
    </row>
    <row r="767" ht="15.75" customHeight="1">
      <c r="H767" s="3"/>
    </row>
    <row r="768" ht="15.75" customHeight="1">
      <c r="H768" s="3"/>
    </row>
    <row r="769" ht="15.75" customHeight="1">
      <c r="H769" s="3"/>
    </row>
    <row r="770" ht="15.75" customHeight="1">
      <c r="H770" s="3"/>
    </row>
    <row r="771" ht="15.75" customHeight="1">
      <c r="H771" s="3"/>
    </row>
    <row r="772" ht="15.75" customHeight="1">
      <c r="H772" s="3"/>
    </row>
    <row r="773" ht="15.75" customHeight="1">
      <c r="H773" s="3"/>
    </row>
    <row r="774" ht="15.75" customHeight="1">
      <c r="H774" s="3"/>
    </row>
    <row r="775" ht="15.75" customHeight="1">
      <c r="H775" s="3"/>
    </row>
    <row r="776" ht="15.75" customHeight="1">
      <c r="H776" s="3"/>
    </row>
    <row r="777" ht="15.75" customHeight="1">
      <c r="H777" s="3"/>
    </row>
    <row r="778" ht="15.75" customHeight="1">
      <c r="H778" s="3"/>
    </row>
    <row r="779" ht="15.75" customHeight="1">
      <c r="H779" s="3"/>
    </row>
    <row r="780" ht="15.75" customHeight="1">
      <c r="H780" s="3"/>
    </row>
    <row r="781" ht="15.75" customHeight="1">
      <c r="H781" s="3"/>
    </row>
    <row r="782" ht="15.75" customHeight="1">
      <c r="H782" s="3"/>
    </row>
    <row r="783" ht="15.75" customHeight="1">
      <c r="H783" s="3"/>
    </row>
    <row r="784" ht="15.75" customHeight="1">
      <c r="H784" s="3"/>
    </row>
    <row r="785" ht="15.75" customHeight="1">
      <c r="H785" s="3"/>
    </row>
    <row r="786" ht="15.75" customHeight="1">
      <c r="H786" s="3"/>
    </row>
    <row r="787" ht="15.75" customHeight="1">
      <c r="H787" s="3"/>
    </row>
    <row r="788" ht="15.75" customHeight="1">
      <c r="H788" s="3"/>
    </row>
    <row r="789" ht="15.75" customHeight="1">
      <c r="H789" s="3"/>
    </row>
    <row r="790" ht="15.75" customHeight="1">
      <c r="H790" s="3"/>
    </row>
    <row r="791" ht="15.75" customHeight="1">
      <c r="H791" s="3"/>
    </row>
    <row r="792" ht="15.75" customHeight="1">
      <c r="H792" s="3"/>
    </row>
    <row r="793" ht="15.75" customHeight="1">
      <c r="H793" s="3"/>
    </row>
    <row r="794" ht="15.75" customHeight="1">
      <c r="H794" s="3"/>
    </row>
    <row r="795" ht="15.75" customHeight="1">
      <c r="H795" s="3"/>
    </row>
    <row r="796" ht="15.75" customHeight="1">
      <c r="H796" s="3"/>
    </row>
    <row r="797" ht="15.75" customHeight="1">
      <c r="H797" s="3"/>
    </row>
    <row r="798" ht="15.75" customHeight="1">
      <c r="H798" s="3"/>
    </row>
    <row r="799" ht="15.75" customHeight="1">
      <c r="H799" s="3"/>
    </row>
    <row r="800" ht="15.75" customHeight="1">
      <c r="H800" s="3"/>
    </row>
    <row r="801" ht="15.75" customHeight="1">
      <c r="H801" s="3"/>
    </row>
    <row r="802" ht="15.75" customHeight="1">
      <c r="H802" s="3"/>
    </row>
    <row r="803" ht="15.75" customHeight="1">
      <c r="H803" s="3"/>
    </row>
    <row r="804" ht="15.75" customHeight="1">
      <c r="H804" s="3"/>
    </row>
    <row r="805" ht="15.75" customHeight="1">
      <c r="H805" s="3"/>
    </row>
    <row r="806" ht="15.75" customHeight="1">
      <c r="H806" s="3"/>
    </row>
    <row r="807" ht="15.75" customHeight="1">
      <c r="H807" s="3"/>
    </row>
    <row r="808" ht="15.75" customHeight="1">
      <c r="H808" s="3"/>
    </row>
    <row r="809" ht="15.75" customHeight="1">
      <c r="H809" s="3"/>
    </row>
    <row r="810" ht="15.75" customHeight="1">
      <c r="H810" s="3"/>
    </row>
    <row r="811" ht="15.75" customHeight="1">
      <c r="H811" s="3"/>
    </row>
    <row r="812" ht="15.75" customHeight="1">
      <c r="H812" s="3"/>
    </row>
    <row r="813" ht="15.75" customHeight="1">
      <c r="H813" s="3"/>
    </row>
    <row r="814" ht="15.75" customHeight="1">
      <c r="H814" s="3"/>
    </row>
    <row r="815" ht="15.75" customHeight="1">
      <c r="H815" s="3"/>
    </row>
    <row r="816" ht="15.75" customHeight="1">
      <c r="H816" s="3"/>
    </row>
    <row r="817" ht="15.75" customHeight="1">
      <c r="H817" s="3"/>
    </row>
    <row r="818" ht="15.75" customHeight="1">
      <c r="H818" s="3"/>
    </row>
    <row r="819" ht="15.75" customHeight="1">
      <c r="H819" s="3"/>
    </row>
    <row r="820" ht="15.75" customHeight="1">
      <c r="H820" s="3"/>
    </row>
    <row r="821" ht="15.75" customHeight="1">
      <c r="H821" s="3"/>
    </row>
    <row r="822" ht="15.75" customHeight="1">
      <c r="H822" s="3"/>
    </row>
    <row r="823" ht="15.75" customHeight="1">
      <c r="H823" s="3"/>
    </row>
    <row r="824" ht="15.75" customHeight="1">
      <c r="H824" s="3"/>
    </row>
    <row r="825" ht="15.75" customHeight="1">
      <c r="H825" s="3"/>
    </row>
    <row r="826" ht="15.75" customHeight="1">
      <c r="H826" s="3"/>
    </row>
    <row r="827" ht="15.75" customHeight="1">
      <c r="H827" s="3"/>
    </row>
    <row r="828" ht="15.75" customHeight="1">
      <c r="H828" s="3"/>
    </row>
    <row r="829" ht="15.75" customHeight="1">
      <c r="H829" s="3"/>
    </row>
    <row r="830" ht="15.75" customHeight="1">
      <c r="H830" s="3"/>
    </row>
    <row r="831" ht="15.75" customHeight="1">
      <c r="H831" s="3"/>
    </row>
    <row r="832" ht="15.75" customHeight="1">
      <c r="H832" s="3"/>
    </row>
    <row r="833" ht="15.75" customHeight="1">
      <c r="H833" s="3"/>
    </row>
    <row r="834" ht="15.75" customHeight="1">
      <c r="H834" s="3"/>
    </row>
    <row r="835" ht="15.75" customHeight="1">
      <c r="H835" s="3"/>
    </row>
    <row r="836" ht="15.75" customHeight="1">
      <c r="H836" s="3"/>
    </row>
    <row r="837" ht="15.75" customHeight="1">
      <c r="H837" s="3"/>
    </row>
    <row r="838" ht="15.75" customHeight="1">
      <c r="H838" s="3"/>
    </row>
    <row r="839" ht="15.75" customHeight="1">
      <c r="H839" s="3"/>
    </row>
    <row r="840" ht="15.75" customHeight="1">
      <c r="H840" s="3"/>
    </row>
    <row r="841" ht="15.75" customHeight="1">
      <c r="H841" s="3"/>
    </row>
    <row r="842" ht="15.75" customHeight="1">
      <c r="H842" s="3"/>
    </row>
    <row r="843" ht="15.75" customHeight="1">
      <c r="H843" s="3"/>
    </row>
    <row r="844" ht="15.75" customHeight="1">
      <c r="H844" s="3"/>
    </row>
    <row r="845" ht="15.75" customHeight="1">
      <c r="H845" s="3"/>
    </row>
    <row r="846" ht="15.75" customHeight="1">
      <c r="H846" s="3"/>
    </row>
    <row r="847" ht="15.75" customHeight="1">
      <c r="H847" s="3"/>
    </row>
    <row r="848" ht="15.75" customHeight="1">
      <c r="H848" s="3"/>
    </row>
    <row r="849" ht="15.75" customHeight="1">
      <c r="H849" s="3"/>
    </row>
    <row r="850" ht="15.75" customHeight="1">
      <c r="H850" s="3"/>
    </row>
    <row r="851" ht="15.75" customHeight="1">
      <c r="H851" s="3"/>
    </row>
    <row r="852" ht="15.75" customHeight="1">
      <c r="H852" s="3"/>
    </row>
    <row r="853" ht="15.75" customHeight="1">
      <c r="H853" s="3"/>
    </row>
    <row r="854" ht="15.75" customHeight="1">
      <c r="H854" s="3"/>
    </row>
    <row r="855" ht="15.75" customHeight="1">
      <c r="H855" s="3"/>
    </row>
    <row r="856" ht="15.75" customHeight="1">
      <c r="H856" s="3"/>
    </row>
    <row r="857" ht="15.75" customHeight="1">
      <c r="H857" s="3"/>
    </row>
    <row r="858" ht="15.75" customHeight="1">
      <c r="H858" s="3"/>
    </row>
    <row r="859" ht="15.75" customHeight="1">
      <c r="H859" s="3"/>
    </row>
    <row r="860" ht="15.75" customHeight="1">
      <c r="H860" s="3"/>
    </row>
    <row r="861" ht="15.75" customHeight="1">
      <c r="H861" s="3"/>
    </row>
    <row r="862" ht="15.75" customHeight="1">
      <c r="H862" s="3"/>
    </row>
    <row r="863" ht="15.75" customHeight="1">
      <c r="H863" s="3"/>
    </row>
    <row r="864" ht="15.75" customHeight="1">
      <c r="H864" s="3"/>
    </row>
    <row r="865" ht="15.75" customHeight="1">
      <c r="H865" s="3"/>
    </row>
    <row r="866" ht="15.75" customHeight="1">
      <c r="H866" s="3"/>
    </row>
    <row r="867" ht="15.75" customHeight="1">
      <c r="H867" s="3"/>
    </row>
    <row r="868" ht="15.75" customHeight="1">
      <c r="H868" s="3"/>
    </row>
    <row r="869" ht="15.75" customHeight="1">
      <c r="H869" s="3"/>
    </row>
    <row r="870" ht="15.75" customHeight="1">
      <c r="H870" s="3"/>
    </row>
    <row r="871" ht="15.75" customHeight="1">
      <c r="H871" s="3"/>
    </row>
    <row r="872" ht="15.75" customHeight="1">
      <c r="H872" s="3"/>
    </row>
    <row r="873" ht="15.75" customHeight="1">
      <c r="H873" s="3"/>
    </row>
    <row r="874" ht="15.75" customHeight="1">
      <c r="H874" s="3"/>
    </row>
    <row r="875" ht="15.75" customHeight="1">
      <c r="H875" s="3"/>
    </row>
    <row r="876" ht="15.75" customHeight="1">
      <c r="H876" s="3"/>
    </row>
    <row r="877" ht="15.75" customHeight="1">
      <c r="H877" s="3"/>
    </row>
    <row r="878" ht="15.75" customHeight="1">
      <c r="H878" s="3"/>
    </row>
    <row r="879" ht="15.75" customHeight="1">
      <c r="H879" s="3"/>
    </row>
    <row r="880" ht="15.75" customHeight="1">
      <c r="H880" s="3"/>
    </row>
    <row r="881" ht="15.75" customHeight="1">
      <c r="H881" s="3"/>
    </row>
    <row r="882" ht="15.75" customHeight="1">
      <c r="H882" s="3"/>
    </row>
    <row r="883" ht="15.75" customHeight="1">
      <c r="H883" s="3"/>
    </row>
    <row r="884" ht="15.75" customHeight="1">
      <c r="H884" s="3"/>
    </row>
    <row r="885" ht="15.75" customHeight="1">
      <c r="H885" s="3"/>
    </row>
    <row r="886" ht="15.75" customHeight="1">
      <c r="H886" s="3"/>
    </row>
    <row r="887" ht="15.75" customHeight="1">
      <c r="H887" s="3"/>
    </row>
    <row r="888" ht="15.75" customHeight="1">
      <c r="H888" s="3"/>
    </row>
    <row r="889" ht="15.75" customHeight="1">
      <c r="H889" s="3"/>
    </row>
    <row r="890" ht="15.75" customHeight="1">
      <c r="H890" s="3"/>
    </row>
    <row r="891" ht="15.75" customHeight="1">
      <c r="H891" s="3"/>
    </row>
    <row r="892" ht="15.75" customHeight="1">
      <c r="H892" s="3"/>
    </row>
    <row r="893" ht="15.75" customHeight="1">
      <c r="H893" s="3"/>
    </row>
    <row r="894" ht="15.75" customHeight="1">
      <c r="H894" s="3"/>
    </row>
    <row r="895" ht="15.75" customHeight="1">
      <c r="H895" s="3"/>
    </row>
    <row r="896" ht="15.75" customHeight="1">
      <c r="H896" s="3"/>
    </row>
    <row r="897" ht="15.75" customHeight="1">
      <c r="H897" s="3"/>
    </row>
    <row r="898" ht="15.75" customHeight="1">
      <c r="H898" s="3"/>
    </row>
    <row r="899" ht="15.75" customHeight="1">
      <c r="H899" s="3"/>
    </row>
    <row r="900" ht="15.75" customHeight="1">
      <c r="H900" s="3"/>
    </row>
    <row r="901" ht="15.75" customHeight="1">
      <c r="H901" s="3"/>
    </row>
    <row r="902" ht="15.75" customHeight="1">
      <c r="H902" s="3"/>
    </row>
    <row r="903" ht="15.75" customHeight="1">
      <c r="H903" s="3"/>
    </row>
    <row r="904" ht="15.75" customHeight="1">
      <c r="H904" s="3"/>
    </row>
    <row r="905" ht="15.75" customHeight="1">
      <c r="H905" s="3"/>
    </row>
    <row r="906" ht="15.75" customHeight="1">
      <c r="H906" s="3"/>
    </row>
    <row r="907" ht="15.75" customHeight="1">
      <c r="H907" s="3"/>
    </row>
    <row r="908" ht="15.75" customHeight="1">
      <c r="H908" s="3"/>
    </row>
    <row r="909" ht="15.75" customHeight="1">
      <c r="H909" s="3"/>
    </row>
    <row r="910" ht="15.75" customHeight="1">
      <c r="H910" s="3"/>
    </row>
    <row r="911" ht="15.75" customHeight="1">
      <c r="H911" s="3"/>
    </row>
    <row r="912" ht="15.75" customHeight="1">
      <c r="H912" s="3"/>
    </row>
    <row r="913" ht="15.75" customHeight="1">
      <c r="H913" s="3"/>
    </row>
    <row r="914" ht="15.75" customHeight="1">
      <c r="H914" s="3"/>
    </row>
    <row r="915" ht="15.75" customHeight="1">
      <c r="H915" s="3"/>
    </row>
    <row r="916" ht="15.75" customHeight="1">
      <c r="H916" s="3"/>
    </row>
    <row r="917" ht="15.75" customHeight="1">
      <c r="H917" s="3"/>
    </row>
    <row r="918" ht="15.75" customHeight="1">
      <c r="H918" s="3"/>
    </row>
    <row r="919" ht="15.75" customHeight="1">
      <c r="H919" s="3"/>
    </row>
    <row r="920" ht="15.75" customHeight="1">
      <c r="H920" s="3"/>
    </row>
    <row r="921" ht="15.75" customHeight="1">
      <c r="H921" s="3"/>
    </row>
    <row r="922" ht="15.75" customHeight="1">
      <c r="H922" s="3"/>
    </row>
    <row r="923" ht="15.75" customHeight="1">
      <c r="H923" s="3"/>
    </row>
    <row r="924" ht="15.75" customHeight="1">
      <c r="H924" s="3"/>
    </row>
    <row r="925" ht="15.75" customHeight="1">
      <c r="H925" s="3"/>
    </row>
    <row r="926" ht="15.75" customHeight="1">
      <c r="H926" s="3"/>
    </row>
    <row r="927" ht="15.75" customHeight="1">
      <c r="H927" s="3"/>
    </row>
    <row r="928" ht="15.75" customHeight="1">
      <c r="H928" s="3"/>
    </row>
    <row r="929" ht="15.75" customHeight="1">
      <c r="H929" s="3"/>
    </row>
    <row r="930" ht="15.75" customHeight="1">
      <c r="H930" s="3"/>
    </row>
    <row r="931" ht="15.75" customHeight="1">
      <c r="H931" s="3"/>
    </row>
    <row r="932" ht="15.75" customHeight="1">
      <c r="H932" s="3"/>
    </row>
    <row r="933" ht="15.75" customHeight="1">
      <c r="H933" s="3"/>
    </row>
    <row r="934" ht="15.75" customHeight="1">
      <c r="H934" s="3"/>
    </row>
    <row r="935" ht="15.75" customHeight="1">
      <c r="H935" s="3"/>
    </row>
    <row r="936" ht="15.75" customHeight="1">
      <c r="H936" s="3"/>
    </row>
    <row r="937" ht="15.75" customHeight="1">
      <c r="H937" s="3"/>
    </row>
    <row r="938" ht="15.75" customHeight="1">
      <c r="H938" s="3"/>
    </row>
    <row r="939" ht="15.75" customHeight="1">
      <c r="H939" s="3"/>
    </row>
    <row r="940" ht="15.75" customHeight="1">
      <c r="H940" s="3"/>
    </row>
    <row r="941" ht="15.75" customHeight="1">
      <c r="H941" s="3"/>
    </row>
    <row r="942" ht="15.75" customHeight="1">
      <c r="H942" s="3"/>
    </row>
    <row r="943" ht="15.75" customHeight="1">
      <c r="H943" s="3"/>
    </row>
    <row r="944" ht="15.75" customHeight="1">
      <c r="H944" s="3"/>
    </row>
    <row r="945" ht="15.75" customHeight="1">
      <c r="H945" s="3"/>
    </row>
    <row r="946" ht="15.75" customHeight="1">
      <c r="H946" s="3"/>
    </row>
    <row r="947" ht="15.75" customHeight="1">
      <c r="H947" s="3"/>
    </row>
    <row r="948" ht="15.75" customHeight="1">
      <c r="H948" s="3"/>
    </row>
    <row r="949" ht="15.75" customHeight="1">
      <c r="H949" s="3"/>
    </row>
    <row r="950" ht="15.75" customHeight="1">
      <c r="H950" s="3"/>
    </row>
    <row r="951" ht="15.75" customHeight="1">
      <c r="H951" s="3"/>
    </row>
    <row r="952" ht="15.75" customHeight="1">
      <c r="H952" s="3"/>
    </row>
    <row r="953" ht="15.75" customHeight="1">
      <c r="H953" s="3"/>
    </row>
    <row r="954" ht="15.75" customHeight="1">
      <c r="H954" s="3"/>
    </row>
    <row r="955" ht="15.75" customHeight="1">
      <c r="H955" s="3"/>
    </row>
    <row r="956" ht="15.75" customHeight="1">
      <c r="H956" s="3"/>
    </row>
    <row r="957" ht="15.75" customHeight="1">
      <c r="H957" s="3"/>
    </row>
    <row r="958" ht="15.75" customHeight="1">
      <c r="H958" s="3"/>
    </row>
    <row r="959" ht="15.75" customHeight="1">
      <c r="H959" s="3"/>
    </row>
    <row r="960" ht="15.75" customHeight="1">
      <c r="H960" s="3"/>
    </row>
    <row r="961" ht="15.75" customHeight="1">
      <c r="H961" s="3"/>
    </row>
    <row r="962" ht="15.75" customHeight="1">
      <c r="H962" s="3"/>
    </row>
    <row r="963" ht="15.75" customHeight="1">
      <c r="H963" s="3"/>
    </row>
    <row r="964" ht="15.75" customHeight="1">
      <c r="H964" s="3"/>
    </row>
    <row r="965" ht="15.75" customHeight="1">
      <c r="H965" s="3"/>
    </row>
    <row r="966" ht="15.75" customHeight="1">
      <c r="H966" s="3"/>
    </row>
    <row r="967" ht="15.75" customHeight="1">
      <c r="H967" s="3"/>
    </row>
    <row r="968" ht="15.75" customHeight="1">
      <c r="H968" s="3"/>
    </row>
    <row r="969" ht="15.75" customHeight="1">
      <c r="H969" s="3"/>
    </row>
    <row r="970" ht="15.75" customHeight="1">
      <c r="H970" s="3"/>
    </row>
    <row r="971" ht="15.75" customHeight="1">
      <c r="H971" s="3"/>
    </row>
    <row r="972" ht="15.75" customHeight="1">
      <c r="H972" s="3"/>
    </row>
    <row r="973" ht="15.75" customHeight="1">
      <c r="H973" s="3"/>
    </row>
    <row r="974" ht="15.75" customHeight="1">
      <c r="H974" s="3"/>
    </row>
    <row r="975" ht="15.75" customHeight="1">
      <c r="H975" s="3"/>
    </row>
    <row r="976" ht="15.75" customHeight="1">
      <c r="H976" s="3"/>
    </row>
    <row r="977" ht="15.75" customHeight="1">
      <c r="H977" s="3"/>
    </row>
    <row r="978" ht="15.75" customHeight="1">
      <c r="H978" s="3"/>
    </row>
    <row r="979" ht="15.75" customHeight="1">
      <c r="H979" s="3"/>
    </row>
    <row r="980" ht="15.75" customHeight="1">
      <c r="H980" s="3"/>
    </row>
    <row r="981" ht="15.75" customHeight="1">
      <c r="H981" s="3"/>
    </row>
    <row r="982" ht="15.75" customHeight="1">
      <c r="H982" s="3"/>
    </row>
    <row r="983" ht="15.75" customHeight="1">
      <c r="H983" s="3"/>
    </row>
    <row r="984" ht="15.75" customHeight="1">
      <c r="H984" s="3"/>
    </row>
    <row r="985" ht="15.75" customHeight="1">
      <c r="H985" s="3"/>
    </row>
    <row r="986" ht="15.75" customHeight="1">
      <c r="H986" s="3"/>
    </row>
    <row r="987" ht="15.75" customHeight="1">
      <c r="H987" s="3"/>
    </row>
    <row r="988" ht="15.75" customHeight="1">
      <c r="H988" s="3"/>
    </row>
    <row r="989" ht="15.75" customHeight="1">
      <c r="H989" s="3"/>
    </row>
    <row r="990" ht="15.75" customHeight="1">
      <c r="H990" s="3"/>
    </row>
    <row r="991" ht="15.75" customHeight="1">
      <c r="H991" s="3"/>
    </row>
    <row r="992" ht="15.75" customHeight="1">
      <c r="H992" s="3"/>
    </row>
    <row r="993" ht="15.75" customHeight="1">
      <c r="H993" s="3"/>
    </row>
    <row r="994" ht="15.75" customHeight="1">
      <c r="H994" s="3"/>
    </row>
    <row r="995" ht="15.75" customHeight="1">
      <c r="H995" s="3"/>
    </row>
    <row r="996" ht="15.75" customHeight="1">
      <c r="H996" s="3"/>
    </row>
    <row r="997" ht="15.75" customHeight="1">
      <c r="H997" s="3"/>
    </row>
    <row r="998" ht="15.75" customHeight="1">
      <c r="H998" s="3"/>
    </row>
    <row r="999" ht="15.75" customHeight="1">
      <c r="H999" s="3"/>
    </row>
    <row r="1000" ht="15.75" customHeight="1">
      <c r="H1000" s="3"/>
    </row>
  </sheetData>
  <autoFilter ref="$A$1:$C$129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10.75"/>
    <col customWidth="1" hidden="1" min="3" max="4" width="7.75"/>
    <col customWidth="1" min="5" max="5" width="26.25"/>
    <col customWidth="1" min="6" max="6" width="15.75"/>
    <col customWidth="1" hidden="1" min="7" max="7" width="9.63"/>
    <col customWidth="1" min="8" max="8" width="12.63"/>
    <col customWidth="1" min="9" max="9" width="45.88"/>
    <col customWidth="1" min="10" max="10" width="26.25"/>
    <col customWidth="1" min="11" max="11" width="26.0"/>
    <col customWidth="1" min="12" max="12" width="17.88"/>
    <col customWidth="1" min="13" max="13" width="10.75"/>
    <col customWidth="1" min="14" max="26" width="26.25"/>
  </cols>
  <sheetData>
    <row r="1">
      <c r="A1" s="4" t="s">
        <v>22</v>
      </c>
      <c r="B1" s="15" t="s">
        <v>23</v>
      </c>
      <c r="C1" s="15" t="s">
        <v>24</v>
      </c>
      <c r="D1" s="15"/>
      <c r="E1" s="15" t="s">
        <v>25</v>
      </c>
      <c r="F1" s="15" t="s">
        <v>26</v>
      </c>
      <c r="G1" s="15" t="s">
        <v>27</v>
      </c>
      <c r="H1" s="16" t="s">
        <v>6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  <c r="N1" s="15" t="s">
        <v>33</v>
      </c>
      <c r="O1" s="15" t="s">
        <v>34</v>
      </c>
      <c r="P1" s="15" t="s">
        <v>35</v>
      </c>
    </row>
    <row r="2" ht="60.0" customHeight="1">
      <c r="A2" s="4" t="s">
        <v>36</v>
      </c>
      <c r="B2" s="17" t="s">
        <v>54</v>
      </c>
      <c r="C2" s="17" t="s">
        <v>55</v>
      </c>
      <c r="D2" s="17"/>
      <c r="E2" s="17" t="s">
        <v>56</v>
      </c>
      <c r="F2" s="17" t="s">
        <v>57</v>
      </c>
      <c r="G2" s="17" t="s">
        <v>58</v>
      </c>
      <c r="H2" s="18">
        <v>2.21</v>
      </c>
      <c r="I2" s="17" t="s">
        <v>59</v>
      </c>
      <c r="J2" s="17" t="s">
        <v>56</v>
      </c>
      <c r="K2" s="17" t="s">
        <v>60</v>
      </c>
      <c r="L2" s="17" t="s">
        <v>61</v>
      </c>
      <c r="M2" s="17" t="s">
        <v>62</v>
      </c>
      <c r="N2" s="17" t="s">
        <v>45</v>
      </c>
      <c r="O2" s="17" t="s">
        <v>63</v>
      </c>
      <c r="P2" s="17" t="s">
        <v>64</v>
      </c>
    </row>
    <row r="3" ht="60.0" customHeight="1">
      <c r="A3" s="4" t="s">
        <v>36</v>
      </c>
      <c r="B3" s="20" t="s">
        <v>108</v>
      </c>
      <c r="C3" s="20" t="s">
        <v>55</v>
      </c>
      <c r="D3" s="20"/>
      <c r="E3" s="20" t="s">
        <v>109</v>
      </c>
      <c r="F3" s="20" t="s">
        <v>57</v>
      </c>
      <c r="G3" s="20" t="s">
        <v>58</v>
      </c>
      <c r="H3" s="21">
        <v>9.99</v>
      </c>
      <c r="I3" s="20" t="s">
        <v>110</v>
      </c>
      <c r="J3" s="20" t="s">
        <v>109</v>
      </c>
      <c r="K3" s="20" t="s">
        <v>111</v>
      </c>
      <c r="L3" s="20" t="s">
        <v>71</v>
      </c>
      <c r="M3" s="20" t="s">
        <v>112</v>
      </c>
      <c r="N3" s="20" t="s">
        <v>45</v>
      </c>
      <c r="O3" s="20" t="s">
        <v>113</v>
      </c>
      <c r="P3" s="20" t="s">
        <v>114</v>
      </c>
    </row>
    <row r="4" ht="60.0" customHeight="1">
      <c r="A4" s="4" t="s">
        <v>36</v>
      </c>
      <c r="B4" s="17" t="s">
        <v>115</v>
      </c>
      <c r="C4" s="17" t="s">
        <v>55</v>
      </c>
      <c r="D4" s="17"/>
      <c r="E4" s="17" t="s">
        <v>116</v>
      </c>
      <c r="F4" s="17" t="s">
        <v>57</v>
      </c>
      <c r="G4" s="17" t="s">
        <v>58</v>
      </c>
      <c r="H4" s="18">
        <v>10.35</v>
      </c>
      <c r="I4" s="17" t="s">
        <v>117</v>
      </c>
      <c r="J4" s="17" t="s">
        <v>116</v>
      </c>
      <c r="K4" s="17" t="s">
        <v>118</v>
      </c>
      <c r="L4" s="17" t="s">
        <v>119</v>
      </c>
      <c r="M4" s="17" t="s">
        <v>120</v>
      </c>
      <c r="N4" s="17" t="s">
        <v>45</v>
      </c>
      <c r="O4" s="17" t="s">
        <v>121</v>
      </c>
      <c r="P4" s="17" t="s">
        <v>122</v>
      </c>
    </row>
    <row r="5" ht="60.0" customHeight="1">
      <c r="A5" s="4" t="s">
        <v>36</v>
      </c>
      <c r="B5" s="17" t="s">
        <v>37</v>
      </c>
      <c r="C5" s="17" t="s">
        <v>55</v>
      </c>
      <c r="D5" s="17"/>
      <c r="E5" s="17" t="s">
        <v>56</v>
      </c>
      <c r="F5" s="17" t="s">
        <v>57</v>
      </c>
      <c r="G5" s="17" t="s">
        <v>58</v>
      </c>
      <c r="H5" s="18">
        <v>16.73</v>
      </c>
      <c r="I5" s="17" t="s">
        <v>145</v>
      </c>
      <c r="J5" s="17" t="s">
        <v>56</v>
      </c>
      <c r="K5" s="17" t="s">
        <v>60</v>
      </c>
      <c r="L5" s="17" t="s">
        <v>61</v>
      </c>
      <c r="M5" s="17" t="s">
        <v>62</v>
      </c>
      <c r="N5" s="17" t="s">
        <v>45</v>
      </c>
      <c r="O5" s="17" t="s">
        <v>146</v>
      </c>
      <c r="P5" s="17" t="s">
        <v>64</v>
      </c>
    </row>
    <row r="6" ht="60.0" customHeight="1">
      <c r="A6" s="4" t="s">
        <v>168</v>
      </c>
      <c r="B6" s="20" t="s">
        <v>75</v>
      </c>
      <c r="C6" s="20" t="s">
        <v>55</v>
      </c>
      <c r="D6" s="20"/>
      <c r="E6" s="20" t="s">
        <v>186</v>
      </c>
      <c r="F6" s="20" t="s">
        <v>57</v>
      </c>
      <c r="G6" s="20" t="s">
        <v>58</v>
      </c>
      <c r="H6" s="21">
        <v>29.62</v>
      </c>
      <c r="I6" s="20" t="s">
        <v>187</v>
      </c>
      <c r="J6" s="20" t="s">
        <v>186</v>
      </c>
      <c r="K6" s="20" t="s">
        <v>188</v>
      </c>
      <c r="L6" s="20" t="s">
        <v>189</v>
      </c>
      <c r="M6" s="20" t="s">
        <v>190</v>
      </c>
      <c r="N6" s="20" t="s">
        <v>45</v>
      </c>
      <c r="O6" s="20" t="s">
        <v>191</v>
      </c>
      <c r="P6" s="20" t="s">
        <v>64</v>
      </c>
    </row>
    <row r="7" ht="60.0" customHeight="1">
      <c r="A7" s="4" t="s">
        <v>36</v>
      </c>
      <c r="B7" s="17" t="s">
        <v>156</v>
      </c>
      <c r="C7" s="17" t="s">
        <v>55</v>
      </c>
      <c r="D7" s="17"/>
      <c r="E7" s="17" t="s">
        <v>210</v>
      </c>
      <c r="F7" s="17" t="s">
        <v>57</v>
      </c>
      <c r="G7" s="17" t="s">
        <v>58</v>
      </c>
      <c r="H7" s="18">
        <v>42.1</v>
      </c>
      <c r="I7" s="17" t="s">
        <v>211</v>
      </c>
      <c r="J7" s="17" t="s">
        <v>210</v>
      </c>
      <c r="K7" s="17" t="s">
        <v>212</v>
      </c>
      <c r="L7" s="17" t="s">
        <v>142</v>
      </c>
      <c r="M7" s="17" t="s">
        <v>213</v>
      </c>
      <c r="N7" s="17" t="s">
        <v>45</v>
      </c>
      <c r="O7" s="17" t="s">
        <v>214</v>
      </c>
      <c r="P7" s="17" t="s">
        <v>174</v>
      </c>
    </row>
    <row r="8" ht="60.0" customHeight="1">
      <c r="A8" s="22" t="s">
        <v>36</v>
      </c>
      <c r="B8" s="20" t="s">
        <v>75</v>
      </c>
      <c r="C8" s="20" t="s">
        <v>55</v>
      </c>
      <c r="D8" s="20"/>
      <c r="E8" s="20" t="s">
        <v>228</v>
      </c>
      <c r="F8" s="20" t="s">
        <v>57</v>
      </c>
      <c r="G8" s="20" t="s">
        <v>58</v>
      </c>
      <c r="H8" s="21">
        <v>47.5</v>
      </c>
      <c r="I8" s="20" t="s">
        <v>229</v>
      </c>
      <c r="J8" s="20" t="s">
        <v>228</v>
      </c>
      <c r="K8" s="20" t="s">
        <v>230</v>
      </c>
      <c r="L8" s="20" t="s">
        <v>119</v>
      </c>
      <c r="M8" s="20" t="s">
        <v>231</v>
      </c>
      <c r="N8" s="20" t="s">
        <v>45</v>
      </c>
      <c r="O8" s="20" t="s">
        <v>232</v>
      </c>
      <c r="P8" s="20" t="s">
        <v>64</v>
      </c>
    </row>
    <row r="9" ht="60.0" customHeight="1">
      <c r="A9" s="4" t="s">
        <v>36</v>
      </c>
      <c r="B9" s="20" t="s">
        <v>147</v>
      </c>
      <c r="C9" s="20" t="s">
        <v>55</v>
      </c>
      <c r="D9" s="20"/>
      <c r="E9" s="20" t="s">
        <v>236</v>
      </c>
      <c r="F9" s="20" t="s">
        <v>57</v>
      </c>
      <c r="G9" s="20" t="s">
        <v>58</v>
      </c>
      <c r="H9" s="21">
        <v>55.67</v>
      </c>
      <c r="I9" s="20" t="s">
        <v>237</v>
      </c>
      <c r="J9" s="20" t="s">
        <v>236</v>
      </c>
      <c r="K9" s="20" t="s">
        <v>152</v>
      </c>
      <c r="L9" s="20" t="s">
        <v>153</v>
      </c>
      <c r="M9" s="20" t="s">
        <v>154</v>
      </c>
      <c r="N9" s="20" t="s">
        <v>45</v>
      </c>
      <c r="O9" s="20" t="s">
        <v>238</v>
      </c>
      <c r="P9" s="20" t="s">
        <v>64</v>
      </c>
    </row>
    <row r="10" ht="60.0" customHeight="1">
      <c r="A10" s="4" t="s">
        <v>36</v>
      </c>
      <c r="B10" s="17" t="s">
        <v>239</v>
      </c>
      <c r="C10" s="17" t="s">
        <v>55</v>
      </c>
      <c r="D10" s="17"/>
      <c r="E10" s="17" t="s">
        <v>240</v>
      </c>
      <c r="F10" s="17" t="s">
        <v>57</v>
      </c>
      <c r="G10" s="17" t="s">
        <v>58</v>
      </c>
      <c r="H10" s="18">
        <v>56.62</v>
      </c>
      <c r="I10" s="17" t="s">
        <v>241</v>
      </c>
      <c r="J10" s="17" t="s">
        <v>240</v>
      </c>
      <c r="K10" s="17" t="s">
        <v>242</v>
      </c>
      <c r="L10" s="17" t="s">
        <v>243</v>
      </c>
      <c r="M10" s="17" t="s">
        <v>244</v>
      </c>
      <c r="N10" s="17" t="s">
        <v>45</v>
      </c>
      <c r="O10" s="17" t="s">
        <v>245</v>
      </c>
      <c r="P10" s="17" t="s">
        <v>74</v>
      </c>
    </row>
    <row r="11" ht="60.0" customHeight="1">
      <c r="A11" s="4" t="s">
        <v>36</v>
      </c>
      <c r="B11" s="20" t="s">
        <v>156</v>
      </c>
      <c r="C11" s="20" t="s">
        <v>55</v>
      </c>
      <c r="D11" s="20"/>
      <c r="E11" s="20" t="s">
        <v>251</v>
      </c>
      <c r="F11" s="20" t="s">
        <v>57</v>
      </c>
      <c r="G11" s="20" t="s">
        <v>58</v>
      </c>
      <c r="H11" s="21">
        <v>67.73</v>
      </c>
      <c r="I11" s="20" t="s">
        <v>252</v>
      </c>
      <c r="J11" s="20" t="s">
        <v>251</v>
      </c>
      <c r="K11" s="20" t="s">
        <v>253</v>
      </c>
      <c r="L11" s="20" t="s">
        <v>142</v>
      </c>
      <c r="M11" s="20" t="s">
        <v>143</v>
      </c>
      <c r="N11" s="20" t="s">
        <v>45</v>
      </c>
      <c r="O11" s="20" t="s">
        <v>254</v>
      </c>
      <c r="P11" s="20" t="s">
        <v>114</v>
      </c>
    </row>
    <row r="12" ht="60.0" customHeight="1">
      <c r="A12" s="4" t="s">
        <v>36</v>
      </c>
      <c r="B12" s="17" t="s">
        <v>100</v>
      </c>
      <c r="C12" s="17" t="s">
        <v>55</v>
      </c>
      <c r="D12" s="17"/>
      <c r="E12" s="17" t="s">
        <v>271</v>
      </c>
      <c r="F12" s="17" t="s">
        <v>57</v>
      </c>
      <c r="G12" s="17" t="s">
        <v>58</v>
      </c>
      <c r="H12" s="18">
        <v>89.84</v>
      </c>
      <c r="I12" s="17" t="s">
        <v>272</v>
      </c>
      <c r="J12" s="17" t="s">
        <v>271</v>
      </c>
      <c r="K12" s="17" t="s">
        <v>273</v>
      </c>
      <c r="L12" s="17" t="s">
        <v>142</v>
      </c>
      <c r="M12" s="17" t="s">
        <v>274</v>
      </c>
      <c r="N12" s="17" t="s">
        <v>45</v>
      </c>
      <c r="O12" s="17" t="s">
        <v>275</v>
      </c>
      <c r="P12" s="17" t="s">
        <v>122</v>
      </c>
    </row>
    <row r="13" ht="60.0" customHeight="1">
      <c r="A13" s="4" t="s">
        <v>36</v>
      </c>
      <c r="B13" s="17" t="s">
        <v>131</v>
      </c>
      <c r="C13" s="17" t="s">
        <v>55</v>
      </c>
      <c r="D13" s="17"/>
      <c r="E13" s="17" t="s">
        <v>228</v>
      </c>
      <c r="F13" s="17" t="s">
        <v>57</v>
      </c>
      <c r="G13" s="17" t="s">
        <v>58</v>
      </c>
      <c r="H13" s="18">
        <v>98.77</v>
      </c>
      <c r="I13" s="17" t="s">
        <v>288</v>
      </c>
      <c r="J13" s="17" t="s">
        <v>228</v>
      </c>
      <c r="K13" s="17" t="s">
        <v>230</v>
      </c>
      <c r="L13" s="17" t="s">
        <v>119</v>
      </c>
      <c r="M13" s="17" t="s">
        <v>231</v>
      </c>
      <c r="N13" s="17" t="s">
        <v>45</v>
      </c>
      <c r="O13" s="17" t="s">
        <v>289</v>
      </c>
      <c r="P13" s="17" t="s">
        <v>64</v>
      </c>
    </row>
    <row r="14" ht="60.0" customHeight="1">
      <c r="A14" s="22" t="s">
        <v>36</v>
      </c>
      <c r="B14" s="17" t="s">
        <v>75</v>
      </c>
      <c r="C14" s="17" t="s">
        <v>55</v>
      </c>
      <c r="D14" s="17"/>
      <c r="E14" s="17" t="s">
        <v>317</v>
      </c>
      <c r="F14" s="17" t="s">
        <v>57</v>
      </c>
      <c r="G14" s="17" t="s">
        <v>58</v>
      </c>
      <c r="H14" s="18">
        <v>108.63</v>
      </c>
      <c r="I14" s="17" t="s">
        <v>318</v>
      </c>
      <c r="J14" s="17" t="s">
        <v>317</v>
      </c>
      <c r="K14" s="17" t="s">
        <v>319</v>
      </c>
      <c r="L14" s="17" t="s">
        <v>320</v>
      </c>
      <c r="M14" s="17" t="s">
        <v>321</v>
      </c>
      <c r="N14" s="17" t="s">
        <v>45</v>
      </c>
      <c r="O14" s="17" t="s">
        <v>322</v>
      </c>
      <c r="P14" s="17" t="s">
        <v>182</v>
      </c>
    </row>
    <row r="15" ht="60.0" customHeight="1">
      <c r="A15" s="4" t="s">
        <v>168</v>
      </c>
      <c r="B15" s="20" t="s">
        <v>276</v>
      </c>
      <c r="C15" s="20" t="s">
        <v>55</v>
      </c>
      <c r="D15" s="20"/>
      <c r="E15" s="20" t="s">
        <v>344</v>
      </c>
      <c r="F15" s="20" t="s">
        <v>57</v>
      </c>
      <c r="G15" s="20" t="s">
        <v>58</v>
      </c>
      <c r="H15" s="21">
        <v>125.68</v>
      </c>
      <c r="I15" s="20" t="s">
        <v>345</v>
      </c>
      <c r="J15" s="20" t="s">
        <v>344</v>
      </c>
      <c r="K15" s="20" t="s">
        <v>346</v>
      </c>
      <c r="L15" s="20" t="s">
        <v>142</v>
      </c>
      <c r="M15" s="20" t="s">
        <v>180</v>
      </c>
      <c r="N15" s="20" t="s">
        <v>45</v>
      </c>
      <c r="O15" s="20" t="s">
        <v>347</v>
      </c>
      <c r="P15" s="20" t="s">
        <v>114</v>
      </c>
    </row>
    <row r="16" ht="60.0" customHeight="1">
      <c r="A16" s="4" t="s">
        <v>168</v>
      </c>
      <c r="B16" s="17" t="s">
        <v>131</v>
      </c>
      <c r="C16" s="17" t="s">
        <v>55</v>
      </c>
      <c r="D16" s="17"/>
      <c r="E16" s="17" t="s">
        <v>348</v>
      </c>
      <c r="F16" s="17" t="s">
        <v>57</v>
      </c>
      <c r="G16" s="17" t="s">
        <v>58</v>
      </c>
      <c r="H16" s="18">
        <v>134.2</v>
      </c>
      <c r="I16" s="17" t="s">
        <v>349</v>
      </c>
      <c r="J16" s="17" t="s">
        <v>348</v>
      </c>
      <c r="K16" s="17" t="s">
        <v>350</v>
      </c>
      <c r="L16" s="17" t="s">
        <v>119</v>
      </c>
      <c r="M16" s="17" t="s">
        <v>120</v>
      </c>
      <c r="N16" s="17" t="s">
        <v>45</v>
      </c>
      <c r="O16" s="17" t="s">
        <v>351</v>
      </c>
      <c r="P16" s="17" t="s">
        <v>64</v>
      </c>
    </row>
    <row r="17" ht="60.0" customHeight="1">
      <c r="A17" s="22" t="s">
        <v>168</v>
      </c>
      <c r="B17" s="20" t="s">
        <v>54</v>
      </c>
      <c r="C17" s="20" t="s">
        <v>55</v>
      </c>
      <c r="D17" s="20"/>
      <c r="E17" s="20" t="s">
        <v>360</v>
      </c>
      <c r="F17" s="20" t="s">
        <v>57</v>
      </c>
      <c r="G17" s="20" t="s">
        <v>58</v>
      </c>
      <c r="H17" s="21">
        <v>140.59</v>
      </c>
      <c r="I17" s="20" t="s">
        <v>361</v>
      </c>
      <c r="J17" s="20" t="s">
        <v>360</v>
      </c>
      <c r="K17" s="20" t="s">
        <v>60</v>
      </c>
      <c r="L17" s="20" t="s">
        <v>61</v>
      </c>
      <c r="M17" s="20" t="s">
        <v>62</v>
      </c>
      <c r="N17" s="20" t="s">
        <v>45</v>
      </c>
      <c r="O17" s="20" t="s">
        <v>362</v>
      </c>
      <c r="P17" s="20" t="s">
        <v>64</v>
      </c>
    </row>
    <row r="18" ht="60.0" customHeight="1">
      <c r="A18" s="4" t="s">
        <v>168</v>
      </c>
      <c r="B18" s="17" t="s">
        <v>147</v>
      </c>
      <c r="C18" s="17" t="s">
        <v>55</v>
      </c>
      <c r="D18" s="17"/>
      <c r="E18" s="17" t="s">
        <v>236</v>
      </c>
      <c r="F18" s="17" t="s">
        <v>57</v>
      </c>
      <c r="G18" s="17" t="s">
        <v>58</v>
      </c>
      <c r="H18" s="18">
        <v>149.0</v>
      </c>
      <c r="I18" s="17" t="s">
        <v>365</v>
      </c>
      <c r="J18" s="17" t="s">
        <v>236</v>
      </c>
      <c r="K18" s="17" t="s">
        <v>152</v>
      </c>
      <c r="L18" s="17" t="s">
        <v>153</v>
      </c>
      <c r="M18" s="17" t="s">
        <v>154</v>
      </c>
      <c r="N18" s="17" t="s">
        <v>45</v>
      </c>
      <c r="O18" s="17" t="s">
        <v>366</v>
      </c>
      <c r="P18" s="17" t="s">
        <v>64</v>
      </c>
    </row>
    <row r="19" ht="60.0" customHeight="1">
      <c r="A19" s="4" t="s">
        <v>168</v>
      </c>
      <c r="B19" s="20" t="s">
        <v>196</v>
      </c>
      <c r="C19" s="20" t="s">
        <v>55</v>
      </c>
      <c r="D19" s="20"/>
      <c r="E19" s="20" t="s">
        <v>374</v>
      </c>
      <c r="F19" s="20" t="s">
        <v>57</v>
      </c>
      <c r="G19" s="20" t="s">
        <v>58</v>
      </c>
      <c r="H19" s="21">
        <v>156.93</v>
      </c>
      <c r="I19" s="20" t="s">
        <v>375</v>
      </c>
      <c r="J19" s="20" t="s">
        <v>374</v>
      </c>
      <c r="K19" s="20" t="s">
        <v>376</v>
      </c>
      <c r="L19" s="20" t="s">
        <v>142</v>
      </c>
      <c r="M19" s="20" t="s">
        <v>166</v>
      </c>
      <c r="N19" s="20" t="s">
        <v>45</v>
      </c>
      <c r="O19" s="20" t="s">
        <v>377</v>
      </c>
      <c r="P19" s="20" t="s">
        <v>74</v>
      </c>
    </row>
    <row r="20" ht="60.0" customHeight="1">
      <c r="A20" s="4" t="s">
        <v>168</v>
      </c>
      <c r="B20" s="17" t="s">
        <v>383</v>
      </c>
      <c r="C20" s="17" t="s">
        <v>55</v>
      </c>
      <c r="D20" s="17"/>
      <c r="E20" s="17" t="s">
        <v>384</v>
      </c>
      <c r="F20" s="17" t="s">
        <v>57</v>
      </c>
      <c r="G20" s="17" t="s">
        <v>58</v>
      </c>
      <c r="H20" s="18">
        <v>162.27</v>
      </c>
      <c r="I20" s="17" t="s">
        <v>385</v>
      </c>
      <c r="J20" s="17" t="s">
        <v>384</v>
      </c>
      <c r="K20" s="17" t="s">
        <v>208</v>
      </c>
      <c r="L20" s="17" t="s">
        <v>97</v>
      </c>
      <c r="M20" s="17" t="s">
        <v>98</v>
      </c>
      <c r="N20" s="17" t="s">
        <v>45</v>
      </c>
      <c r="O20" s="17" t="s">
        <v>386</v>
      </c>
      <c r="P20" s="17" t="s">
        <v>64</v>
      </c>
    </row>
    <row r="21" ht="60.0" customHeight="1">
      <c r="A21" s="4" t="s">
        <v>168</v>
      </c>
      <c r="B21" s="17" t="s">
        <v>276</v>
      </c>
      <c r="C21" s="17" t="s">
        <v>55</v>
      </c>
      <c r="D21" s="17"/>
      <c r="E21" s="17" t="s">
        <v>348</v>
      </c>
      <c r="F21" s="17" t="s">
        <v>57</v>
      </c>
      <c r="G21" s="17" t="s">
        <v>58</v>
      </c>
      <c r="H21" s="18">
        <v>169.82</v>
      </c>
      <c r="I21" s="17" t="s">
        <v>387</v>
      </c>
      <c r="J21" s="17" t="s">
        <v>348</v>
      </c>
      <c r="K21" s="17" t="s">
        <v>350</v>
      </c>
      <c r="L21" s="17" t="s">
        <v>119</v>
      </c>
      <c r="M21" s="17" t="s">
        <v>120</v>
      </c>
      <c r="N21" s="17" t="s">
        <v>45</v>
      </c>
      <c r="O21" s="17" t="s">
        <v>388</v>
      </c>
      <c r="P21" s="17" t="s">
        <v>64</v>
      </c>
    </row>
    <row r="22" ht="60.0" customHeight="1">
      <c r="A22" s="4" t="s">
        <v>168</v>
      </c>
      <c r="B22" s="20" t="s">
        <v>100</v>
      </c>
      <c r="C22" s="20" t="s">
        <v>55</v>
      </c>
      <c r="D22" s="20"/>
      <c r="E22" s="20" t="s">
        <v>389</v>
      </c>
      <c r="F22" s="20" t="s">
        <v>57</v>
      </c>
      <c r="G22" s="20" t="s">
        <v>58</v>
      </c>
      <c r="H22" s="21">
        <v>170.05</v>
      </c>
      <c r="I22" s="20" t="s">
        <v>390</v>
      </c>
      <c r="J22" s="20" t="s">
        <v>389</v>
      </c>
      <c r="K22" s="20" t="s">
        <v>391</v>
      </c>
      <c r="L22" s="20" t="s">
        <v>142</v>
      </c>
      <c r="M22" s="20" t="s">
        <v>213</v>
      </c>
      <c r="N22" s="20" t="s">
        <v>45</v>
      </c>
      <c r="O22" s="20" t="s">
        <v>392</v>
      </c>
      <c r="P22" s="20" t="s">
        <v>122</v>
      </c>
    </row>
    <row r="23" ht="60.0" customHeight="1">
      <c r="A23" s="4" t="s">
        <v>168</v>
      </c>
      <c r="B23" s="20" t="s">
        <v>65</v>
      </c>
      <c r="C23" s="20" t="s">
        <v>55</v>
      </c>
      <c r="D23" s="20"/>
      <c r="E23" s="20" t="s">
        <v>348</v>
      </c>
      <c r="F23" s="20" t="s">
        <v>57</v>
      </c>
      <c r="G23" s="20" t="s">
        <v>58</v>
      </c>
      <c r="H23" s="21">
        <v>174.63</v>
      </c>
      <c r="I23" s="20" t="s">
        <v>393</v>
      </c>
      <c r="J23" s="20" t="s">
        <v>348</v>
      </c>
      <c r="K23" s="20" t="s">
        <v>350</v>
      </c>
      <c r="L23" s="20" t="s">
        <v>119</v>
      </c>
      <c r="M23" s="20" t="s">
        <v>120</v>
      </c>
      <c r="N23" s="20" t="s">
        <v>45</v>
      </c>
      <c r="O23" s="20" t="s">
        <v>394</v>
      </c>
      <c r="P23" s="20" t="s">
        <v>64</v>
      </c>
    </row>
    <row r="24" ht="60.0" customHeight="1">
      <c r="A24" s="4" t="s">
        <v>168</v>
      </c>
      <c r="B24" s="20" t="s">
        <v>301</v>
      </c>
      <c r="C24" s="20" t="s">
        <v>55</v>
      </c>
      <c r="D24" s="20"/>
      <c r="E24" s="20" t="s">
        <v>251</v>
      </c>
      <c r="F24" s="20" t="s">
        <v>57</v>
      </c>
      <c r="G24" s="20" t="s">
        <v>58</v>
      </c>
      <c r="H24" s="21">
        <v>178.64</v>
      </c>
      <c r="I24" s="20" t="s">
        <v>395</v>
      </c>
      <c r="J24" s="20" t="s">
        <v>251</v>
      </c>
      <c r="K24" s="20" t="s">
        <v>253</v>
      </c>
      <c r="L24" s="20" t="s">
        <v>142</v>
      </c>
      <c r="M24" s="20" t="s">
        <v>143</v>
      </c>
      <c r="N24" s="20" t="s">
        <v>45</v>
      </c>
      <c r="O24" s="20" t="s">
        <v>396</v>
      </c>
      <c r="P24" s="20" t="s">
        <v>114</v>
      </c>
    </row>
    <row r="25" ht="60.0" customHeight="1">
      <c r="A25" s="4" t="s">
        <v>168</v>
      </c>
      <c r="B25" s="20" t="s">
        <v>239</v>
      </c>
      <c r="C25" s="20" t="s">
        <v>55</v>
      </c>
      <c r="D25" s="20"/>
      <c r="E25" s="20" t="s">
        <v>406</v>
      </c>
      <c r="F25" s="20" t="s">
        <v>57</v>
      </c>
      <c r="G25" s="20" t="s">
        <v>58</v>
      </c>
      <c r="H25" s="21">
        <v>203.91</v>
      </c>
      <c r="I25" s="20" t="s">
        <v>407</v>
      </c>
      <c r="J25" s="20" t="s">
        <v>406</v>
      </c>
      <c r="K25" s="20" t="s">
        <v>285</v>
      </c>
      <c r="L25" s="20" t="s">
        <v>71</v>
      </c>
      <c r="M25" s="20" t="s">
        <v>249</v>
      </c>
      <c r="N25" s="20" t="s">
        <v>45</v>
      </c>
      <c r="O25" s="20" t="s">
        <v>408</v>
      </c>
      <c r="P25" s="20" t="s">
        <v>287</v>
      </c>
    </row>
    <row r="26" ht="60.0" customHeight="1">
      <c r="A26" s="4" t="s">
        <v>168</v>
      </c>
      <c r="B26" s="17" t="s">
        <v>75</v>
      </c>
      <c r="C26" s="17" t="s">
        <v>55</v>
      </c>
      <c r="D26" s="17"/>
      <c r="E26" s="17" t="s">
        <v>430</v>
      </c>
      <c r="F26" s="17" t="s">
        <v>57</v>
      </c>
      <c r="G26" s="17" t="s">
        <v>58</v>
      </c>
      <c r="H26" s="18">
        <v>234.23</v>
      </c>
      <c r="I26" s="17" t="s">
        <v>431</v>
      </c>
      <c r="J26" s="17" t="s">
        <v>430</v>
      </c>
      <c r="K26" s="17" t="s">
        <v>432</v>
      </c>
      <c r="L26" s="17" t="s">
        <v>433</v>
      </c>
      <c r="M26" s="17" t="s">
        <v>434</v>
      </c>
      <c r="N26" s="17" t="s">
        <v>45</v>
      </c>
      <c r="O26" s="17" t="s">
        <v>435</v>
      </c>
      <c r="P26" s="17" t="s">
        <v>74</v>
      </c>
    </row>
    <row r="27" ht="60.0" customHeight="1">
      <c r="A27" s="4" t="s">
        <v>168</v>
      </c>
      <c r="B27" s="17" t="s">
        <v>75</v>
      </c>
      <c r="C27" s="17" t="s">
        <v>55</v>
      </c>
      <c r="D27" s="17"/>
      <c r="E27" s="17" t="s">
        <v>406</v>
      </c>
      <c r="F27" s="17" t="s">
        <v>57</v>
      </c>
      <c r="G27" s="17" t="s">
        <v>58</v>
      </c>
      <c r="H27" s="18">
        <v>329.79</v>
      </c>
      <c r="I27" s="17" t="s">
        <v>449</v>
      </c>
      <c r="J27" s="17" t="s">
        <v>406</v>
      </c>
      <c r="K27" s="17" t="s">
        <v>285</v>
      </c>
      <c r="L27" s="17" t="s">
        <v>71</v>
      </c>
      <c r="M27" s="17" t="s">
        <v>249</v>
      </c>
      <c r="N27" s="17" t="s">
        <v>45</v>
      </c>
      <c r="O27" s="17" t="s">
        <v>450</v>
      </c>
      <c r="P27" s="17" t="s">
        <v>287</v>
      </c>
    </row>
    <row r="28" ht="60.0" customHeight="1">
      <c r="A28" s="4" t="s">
        <v>168</v>
      </c>
      <c r="B28" s="17" t="s">
        <v>108</v>
      </c>
      <c r="C28" s="17" t="s">
        <v>55</v>
      </c>
      <c r="D28" s="17"/>
      <c r="E28" s="17" t="s">
        <v>497</v>
      </c>
      <c r="F28" s="17" t="s">
        <v>57</v>
      </c>
      <c r="G28" s="17" t="s">
        <v>58</v>
      </c>
      <c r="H28" s="18">
        <v>3287.5</v>
      </c>
      <c r="I28" s="17" t="s">
        <v>498</v>
      </c>
      <c r="J28" s="17" t="s">
        <v>497</v>
      </c>
      <c r="K28" s="17" t="s">
        <v>499</v>
      </c>
      <c r="L28" s="17" t="s">
        <v>320</v>
      </c>
      <c r="M28" s="17" t="s">
        <v>500</v>
      </c>
      <c r="N28" s="17" t="s">
        <v>45</v>
      </c>
      <c r="O28" s="17" t="s">
        <v>501</v>
      </c>
      <c r="P28" s="17" t="s">
        <v>502</v>
      </c>
    </row>
    <row r="29" ht="60.0" customHeight="1">
      <c r="A29" s="4" t="s">
        <v>506</v>
      </c>
      <c r="B29" s="20" t="s">
        <v>54</v>
      </c>
      <c r="C29" s="20" t="s">
        <v>55</v>
      </c>
      <c r="D29" s="20"/>
      <c r="E29" s="20" t="s">
        <v>360</v>
      </c>
      <c r="F29" s="20" t="s">
        <v>57</v>
      </c>
      <c r="G29" s="20" t="s">
        <v>58</v>
      </c>
      <c r="H29" s="21">
        <v>13.42</v>
      </c>
      <c r="I29" s="20" t="s">
        <v>603</v>
      </c>
      <c r="J29" s="20" t="s">
        <v>360</v>
      </c>
      <c r="K29" s="20" t="s">
        <v>60</v>
      </c>
      <c r="L29" s="20" t="s">
        <v>61</v>
      </c>
      <c r="M29" s="20" t="s">
        <v>62</v>
      </c>
      <c r="N29" s="20" t="s">
        <v>45</v>
      </c>
      <c r="O29" s="20" t="s">
        <v>604</v>
      </c>
      <c r="P29" s="20" t="s">
        <v>64</v>
      </c>
    </row>
    <row r="30" ht="60.0" customHeight="1">
      <c r="A30" s="4" t="s">
        <v>710</v>
      </c>
      <c r="B30" s="17" t="s">
        <v>54</v>
      </c>
      <c r="C30" s="17" t="s">
        <v>55</v>
      </c>
      <c r="D30" s="17"/>
      <c r="E30" s="17" t="s">
        <v>360</v>
      </c>
      <c r="F30" s="17" t="s">
        <v>57</v>
      </c>
      <c r="G30" s="17" t="s">
        <v>58</v>
      </c>
      <c r="H30" s="18">
        <v>26.84</v>
      </c>
      <c r="I30" s="17" t="s">
        <v>727</v>
      </c>
      <c r="J30" s="17" t="s">
        <v>360</v>
      </c>
      <c r="K30" s="17" t="s">
        <v>60</v>
      </c>
      <c r="L30" s="17" t="s">
        <v>61</v>
      </c>
      <c r="M30" s="17" t="s">
        <v>62</v>
      </c>
      <c r="N30" s="17" t="s">
        <v>45</v>
      </c>
      <c r="O30" s="17" t="s">
        <v>728</v>
      </c>
      <c r="P30" s="17" t="s">
        <v>64</v>
      </c>
    </row>
    <row r="31" ht="60.0" customHeight="1">
      <c r="A31" s="4" t="s">
        <v>710</v>
      </c>
      <c r="B31" s="17" t="s">
        <v>147</v>
      </c>
      <c r="C31" s="17" t="s">
        <v>55</v>
      </c>
      <c r="D31" s="17"/>
      <c r="E31" s="17" t="s">
        <v>700</v>
      </c>
      <c r="F31" s="17" t="s">
        <v>57</v>
      </c>
      <c r="G31" s="17" t="s">
        <v>58</v>
      </c>
      <c r="H31" s="18">
        <v>33.53</v>
      </c>
      <c r="I31" s="17" t="s">
        <v>783</v>
      </c>
      <c r="J31" s="17" t="s">
        <v>700</v>
      </c>
      <c r="K31" s="17" t="s">
        <v>702</v>
      </c>
      <c r="L31" s="17" t="s">
        <v>71</v>
      </c>
      <c r="M31" s="17" t="s">
        <v>112</v>
      </c>
      <c r="N31" s="17" t="s">
        <v>45</v>
      </c>
      <c r="O31" s="17" t="s">
        <v>784</v>
      </c>
      <c r="P31" s="17" t="s">
        <v>114</v>
      </c>
    </row>
    <row r="32" ht="60.0" customHeight="1">
      <c r="A32" s="4" t="s">
        <v>506</v>
      </c>
      <c r="B32" s="20" t="s">
        <v>301</v>
      </c>
      <c r="C32" s="20" t="s">
        <v>55</v>
      </c>
      <c r="D32" s="20"/>
      <c r="E32" s="20" t="s">
        <v>700</v>
      </c>
      <c r="F32" s="20" t="s">
        <v>57</v>
      </c>
      <c r="G32" s="20" t="s">
        <v>58</v>
      </c>
      <c r="H32" s="21">
        <v>35.77</v>
      </c>
      <c r="I32" s="20" t="s">
        <v>793</v>
      </c>
      <c r="J32" s="20" t="s">
        <v>700</v>
      </c>
      <c r="K32" s="20" t="s">
        <v>702</v>
      </c>
      <c r="L32" s="20" t="s">
        <v>71</v>
      </c>
      <c r="M32" s="20" t="s">
        <v>112</v>
      </c>
      <c r="N32" s="20" t="s">
        <v>45</v>
      </c>
      <c r="O32" s="20" t="s">
        <v>794</v>
      </c>
      <c r="P32" s="20" t="s">
        <v>114</v>
      </c>
    </row>
    <row r="33" ht="60.0" customHeight="1">
      <c r="A33" s="4" t="s">
        <v>506</v>
      </c>
      <c r="B33" s="20" t="s">
        <v>54</v>
      </c>
      <c r="C33" s="20" t="s">
        <v>55</v>
      </c>
      <c r="D33" s="20"/>
      <c r="E33" s="20" t="s">
        <v>766</v>
      </c>
      <c r="F33" s="20" t="s">
        <v>57</v>
      </c>
      <c r="G33" s="20" t="s">
        <v>58</v>
      </c>
      <c r="H33" s="21">
        <v>53.36</v>
      </c>
      <c r="I33" s="20" t="s">
        <v>894</v>
      </c>
      <c r="J33" s="20" t="s">
        <v>766</v>
      </c>
      <c r="K33" s="20" t="s">
        <v>768</v>
      </c>
      <c r="L33" s="20" t="s">
        <v>142</v>
      </c>
      <c r="M33" s="20" t="s">
        <v>166</v>
      </c>
      <c r="N33" s="20" t="s">
        <v>45</v>
      </c>
      <c r="O33" s="20" t="s">
        <v>895</v>
      </c>
      <c r="P33" s="20" t="s">
        <v>74</v>
      </c>
    </row>
    <row r="34" ht="60.0" customHeight="1">
      <c r="A34" s="4" t="s">
        <v>506</v>
      </c>
      <c r="B34" s="17" t="s">
        <v>65</v>
      </c>
      <c r="C34" s="17" t="s">
        <v>55</v>
      </c>
      <c r="D34" s="17"/>
      <c r="E34" s="17" t="s">
        <v>700</v>
      </c>
      <c r="F34" s="17" t="s">
        <v>57</v>
      </c>
      <c r="G34" s="17" t="s">
        <v>58</v>
      </c>
      <c r="H34" s="18">
        <v>64.25</v>
      </c>
      <c r="I34" s="17" t="s">
        <v>924</v>
      </c>
      <c r="J34" s="17" t="s">
        <v>700</v>
      </c>
      <c r="K34" s="17" t="s">
        <v>702</v>
      </c>
      <c r="L34" s="17" t="s">
        <v>71</v>
      </c>
      <c r="M34" s="17" t="s">
        <v>112</v>
      </c>
      <c r="N34" s="17" t="s">
        <v>45</v>
      </c>
      <c r="O34" s="17" t="s">
        <v>925</v>
      </c>
      <c r="P34" s="17" t="s">
        <v>114</v>
      </c>
    </row>
    <row r="35" ht="60.0" customHeight="1">
      <c r="A35" s="4" t="s">
        <v>506</v>
      </c>
      <c r="B35" s="20" t="s">
        <v>156</v>
      </c>
      <c r="C35" s="20" t="s">
        <v>55</v>
      </c>
      <c r="D35" s="20"/>
      <c r="E35" s="20" t="s">
        <v>936</v>
      </c>
      <c r="F35" s="20" t="s">
        <v>57</v>
      </c>
      <c r="G35" s="20" t="s">
        <v>58</v>
      </c>
      <c r="H35" s="21">
        <v>65.24</v>
      </c>
      <c r="I35" s="20" t="s">
        <v>937</v>
      </c>
      <c r="J35" s="20" t="s">
        <v>936</v>
      </c>
      <c r="K35" s="20" t="s">
        <v>938</v>
      </c>
      <c r="L35" s="20" t="s">
        <v>142</v>
      </c>
      <c r="M35" s="20" t="s">
        <v>180</v>
      </c>
      <c r="N35" s="20" t="s">
        <v>45</v>
      </c>
      <c r="O35" s="20" t="s">
        <v>939</v>
      </c>
      <c r="P35" s="20" t="s">
        <v>182</v>
      </c>
    </row>
    <row r="36" ht="60.0" customHeight="1">
      <c r="A36" s="4" t="s">
        <v>710</v>
      </c>
      <c r="B36" s="20" t="s">
        <v>83</v>
      </c>
      <c r="C36" s="20" t="s">
        <v>55</v>
      </c>
      <c r="D36" s="20"/>
      <c r="E36" s="20" t="s">
        <v>636</v>
      </c>
      <c r="F36" s="20" t="s">
        <v>57</v>
      </c>
      <c r="G36" s="20" t="s">
        <v>58</v>
      </c>
      <c r="H36" s="21">
        <v>68.3</v>
      </c>
      <c r="I36" s="20" t="s">
        <v>944</v>
      </c>
      <c r="J36" s="20" t="s">
        <v>636</v>
      </c>
      <c r="K36" s="20" t="s">
        <v>638</v>
      </c>
      <c r="L36" s="20" t="s">
        <v>613</v>
      </c>
      <c r="M36" s="20" t="s">
        <v>614</v>
      </c>
      <c r="N36" s="20" t="s">
        <v>45</v>
      </c>
      <c r="O36" s="20" t="s">
        <v>945</v>
      </c>
      <c r="P36" s="20" t="s">
        <v>64</v>
      </c>
    </row>
    <row r="37" ht="60.0" customHeight="1">
      <c r="A37" s="4" t="s">
        <v>506</v>
      </c>
      <c r="B37" s="17" t="s">
        <v>262</v>
      </c>
      <c r="C37" s="17" t="s">
        <v>55</v>
      </c>
      <c r="D37" s="17"/>
      <c r="E37" s="17" t="s">
        <v>958</v>
      </c>
      <c r="F37" s="17" t="s">
        <v>57</v>
      </c>
      <c r="G37" s="17" t="s">
        <v>58</v>
      </c>
      <c r="H37" s="18">
        <v>69.6</v>
      </c>
      <c r="I37" s="17" t="s">
        <v>959</v>
      </c>
      <c r="J37" s="17" t="s">
        <v>958</v>
      </c>
      <c r="K37" s="17" t="s">
        <v>960</v>
      </c>
      <c r="L37" s="17" t="s">
        <v>142</v>
      </c>
      <c r="M37" s="17" t="s">
        <v>143</v>
      </c>
      <c r="N37" s="17" t="s">
        <v>45</v>
      </c>
      <c r="O37" s="17" t="s">
        <v>961</v>
      </c>
      <c r="P37" s="17" t="s">
        <v>122</v>
      </c>
    </row>
    <row r="38" ht="60.0" customHeight="1">
      <c r="A38" s="4" t="s">
        <v>506</v>
      </c>
      <c r="B38" s="17" t="s">
        <v>262</v>
      </c>
      <c r="C38" s="17" t="s">
        <v>55</v>
      </c>
      <c r="D38" s="17"/>
      <c r="E38" s="17" t="s">
        <v>700</v>
      </c>
      <c r="F38" s="17" t="s">
        <v>57</v>
      </c>
      <c r="G38" s="17" t="s">
        <v>58</v>
      </c>
      <c r="H38" s="18">
        <v>88.39</v>
      </c>
      <c r="I38" s="17" t="s">
        <v>1018</v>
      </c>
      <c r="J38" s="17" t="s">
        <v>700</v>
      </c>
      <c r="K38" s="17" t="s">
        <v>702</v>
      </c>
      <c r="L38" s="17" t="s">
        <v>71</v>
      </c>
      <c r="M38" s="17" t="s">
        <v>112</v>
      </c>
      <c r="N38" s="17" t="s">
        <v>45</v>
      </c>
      <c r="O38" s="17" t="s">
        <v>1019</v>
      </c>
      <c r="P38" s="17" t="s">
        <v>114</v>
      </c>
    </row>
    <row r="39" ht="60.0" customHeight="1">
      <c r="A39" s="4" t="s">
        <v>506</v>
      </c>
      <c r="B39" s="20" t="s">
        <v>54</v>
      </c>
      <c r="C39" s="20" t="s">
        <v>55</v>
      </c>
      <c r="D39" s="20"/>
      <c r="E39" s="20" t="s">
        <v>56</v>
      </c>
      <c r="F39" s="20" t="s">
        <v>57</v>
      </c>
      <c r="G39" s="20" t="s">
        <v>58</v>
      </c>
      <c r="H39" s="21">
        <v>100.0</v>
      </c>
      <c r="I39" s="20" t="s">
        <v>1073</v>
      </c>
      <c r="J39" s="20" t="s">
        <v>56</v>
      </c>
      <c r="K39" s="20" t="s">
        <v>60</v>
      </c>
      <c r="L39" s="20" t="s">
        <v>61</v>
      </c>
      <c r="M39" s="20" t="s">
        <v>62</v>
      </c>
      <c r="N39" s="20" t="s">
        <v>45</v>
      </c>
      <c r="O39" s="20" t="s">
        <v>1074</v>
      </c>
      <c r="P39" s="20" t="s">
        <v>64</v>
      </c>
    </row>
    <row r="40" ht="60.0" customHeight="1">
      <c r="A40" s="22" t="s">
        <v>710</v>
      </c>
      <c r="B40" s="20" t="s">
        <v>65</v>
      </c>
      <c r="C40" s="20" t="s">
        <v>55</v>
      </c>
      <c r="D40" s="20"/>
      <c r="E40" s="20" t="s">
        <v>1090</v>
      </c>
      <c r="F40" s="20" t="s">
        <v>57</v>
      </c>
      <c r="G40" s="20" t="s">
        <v>58</v>
      </c>
      <c r="H40" s="21">
        <v>120.54</v>
      </c>
      <c r="I40" s="20" t="s">
        <v>1091</v>
      </c>
      <c r="J40" s="20" t="s">
        <v>1090</v>
      </c>
      <c r="K40" s="20" t="s">
        <v>60</v>
      </c>
      <c r="L40" s="20" t="s">
        <v>61</v>
      </c>
      <c r="M40" s="20" t="s">
        <v>62</v>
      </c>
      <c r="N40" s="20" t="s">
        <v>45</v>
      </c>
      <c r="O40" s="20" t="s">
        <v>1092</v>
      </c>
      <c r="P40" s="20" t="s">
        <v>64</v>
      </c>
    </row>
    <row r="41" ht="60.0" customHeight="1">
      <c r="A41" s="4" t="s">
        <v>710</v>
      </c>
      <c r="B41" s="20" t="s">
        <v>367</v>
      </c>
      <c r="C41" s="20" t="s">
        <v>55</v>
      </c>
      <c r="D41" s="20"/>
      <c r="E41" s="20" t="s">
        <v>92</v>
      </c>
      <c r="F41" s="20" t="s">
        <v>57</v>
      </c>
      <c r="G41" s="20" t="s">
        <v>58</v>
      </c>
      <c r="H41" s="21">
        <v>133.44</v>
      </c>
      <c r="I41" s="20" t="s">
        <v>1112</v>
      </c>
      <c r="J41" s="20" t="s">
        <v>92</v>
      </c>
      <c r="K41" s="20" t="s">
        <v>208</v>
      </c>
      <c r="L41" s="20" t="s">
        <v>97</v>
      </c>
      <c r="M41" s="20" t="s">
        <v>98</v>
      </c>
      <c r="N41" s="20" t="s">
        <v>45</v>
      </c>
      <c r="O41" s="20" t="s">
        <v>1113</v>
      </c>
      <c r="P41" s="20" t="s">
        <v>64</v>
      </c>
    </row>
    <row r="42" ht="60.0" customHeight="1">
      <c r="A42" s="4" t="s">
        <v>710</v>
      </c>
      <c r="B42" s="20" t="s">
        <v>115</v>
      </c>
      <c r="C42" s="20" t="s">
        <v>55</v>
      </c>
      <c r="D42" s="20"/>
      <c r="E42" s="20" t="s">
        <v>1140</v>
      </c>
      <c r="F42" s="20" t="s">
        <v>57</v>
      </c>
      <c r="G42" s="20" t="s">
        <v>58</v>
      </c>
      <c r="H42" s="21">
        <v>151.68</v>
      </c>
      <c r="I42" s="20" t="s">
        <v>1145</v>
      </c>
      <c r="J42" s="20" t="s">
        <v>1140</v>
      </c>
      <c r="K42" s="20" t="s">
        <v>1142</v>
      </c>
      <c r="L42" s="20" t="s">
        <v>119</v>
      </c>
      <c r="M42" s="20" t="s">
        <v>231</v>
      </c>
      <c r="N42" s="20" t="s">
        <v>45</v>
      </c>
      <c r="O42" s="20" t="s">
        <v>1146</v>
      </c>
      <c r="P42" s="20" t="s">
        <v>1144</v>
      </c>
    </row>
    <row r="43" ht="60.0" customHeight="1">
      <c r="A43" s="4" t="s">
        <v>710</v>
      </c>
      <c r="B43" s="20" t="s">
        <v>262</v>
      </c>
      <c r="C43" s="20" t="s">
        <v>55</v>
      </c>
      <c r="D43" s="20"/>
      <c r="E43" s="20" t="s">
        <v>1234</v>
      </c>
      <c r="F43" s="20" t="s">
        <v>57</v>
      </c>
      <c r="G43" s="20" t="s">
        <v>58</v>
      </c>
      <c r="H43" s="21">
        <v>200.0</v>
      </c>
      <c r="I43" s="20" t="s">
        <v>1235</v>
      </c>
      <c r="J43" s="20" t="s">
        <v>1234</v>
      </c>
      <c r="K43" s="20" t="s">
        <v>279</v>
      </c>
      <c r="L43" s="20" t="s">
        <v>280</v>
      </c>
      <c r="M43" s="20" t="s">
        <v>281</v>
      </c>
      <c r="N43" s="20" t="s">
        <v>45</v>
      </c>
      <c r="O43" s="20" t="s">
        <v>1236</v>
      </c>
      <c r="P43" s="20" t="s">
        <v>64</v>
      </c>
    </row>
    <row r="44" ht="15.75" customHeight="1">
      <c r="H44" s="3"/>
    </row>
    <row r="45" ht="15.75" customHeight="1">
      <c r="F45" s="23" t="s">
        <v>14</v>
      </c>
      <c r="H45" s="3">
        <f>SUM(H2:H44)</f>
        <v>7477.36</v>
      </c>
    </row>
    <row r="46" ht="15.75" customHeight="1">
      <c r="F46" s="23"/>
      <c r="H46" s="3"/>
    </row>
    <row r="47" ht="15.75" customHeight="1">
      <c r="H47" s="3"/>
    </row>
    <row r="48" ht="15.75" customHeight="1">
      <c r="F48" s="5" t="s">
        <v>5</v>
      </c>
      <c r="G48" s="5"/>
      <c r="H48" s="11"/>
      <c r="I48" s="5" t="s">
        <v>7</v>
      </c>
      <c r="J48" s="5" t="s">
        <v>8</v>
      </c>
      <c r="K48" s="5" t="s">
        <v>9</v>
      </c>
    </row>
    <row r="49" ht="15.75" customHeight="1">
      <c r="F49" s="7" t="s">
        <v>10</v>
      </c>
      <c r="H49" s="12">
        <f>SUMIF($A$2:$A$43,"no",$H$2:$H$43)</f>
        <v>6253</v>
      </c>
      <c r="I49" s="7">
        <f>COUNTIF(A2:A43,"no")</f>
        <v>27</v>
      </c>
      <c r="J49" s="9">
        <f t="shared" ref="J49:K49" si="1">H49/H51</f>
        <v>0.8362577166</v>
      </c>
      <c r="K49" s="9">
        <f t="shared" si="1"/>
        <v>0.6428571429</v>
      </c>
    </row>
    <row r="50" ht="15.75" customHeight="1">
      <c r="F50" s="4" t="s">
        <v>11</v>
      </c>
      <c r="H50" s="3">
        <f>SUMIF($A$2:$A$43,"yes",$H$2:$H$43)</f>
        <v>1224.36</v>
      </c>
      <c r="I50" s="4">
        <f>COUNTIF(A2:A43,"yes")</f>
        <v>15</v>
      </c>
      <c r="J50" s="10">
        <f t="shared" ref="J50:K50" si="2">H50/H51</f>
        <v>0.1637422834</v>
      </c>
      <c r="K50" s="10">
        <f t="shared" si="2"/>
        <v>0.3571428571</v>
      </c>
    </row>
    <row r="51" ht="15.75" customHeight="1">
      <c r="F51" s="4" t="s">
        <v>14</v>
      </c>
      <c r="H51" s="3">
        <f t="shared" ref="H51:I51" si="3">SUM(H49:H50)</f>
        <v>7477.36</v>
      </c>
      <c r="I51" s="4">
        <f t="shared" si="3"/>
        <v>42</v>
      </c>
    </row>
    <row r="52" ht="15.75" customHeight="1">
      <c r="H52" s="3"/>
    </row>
    <row r="53" ht="15.75" customHeight="1">
      <c r="H53" s="3"/>
    </row>
    <row r="54" ht="15.75" customHeight="1">
      <c r="H54" s="3"/>
    </row>
    <row r="55" ht="15.75" customHeight="1">
      <c r="H55" s="3"/>
    </row>
    <row r="56" ht="15.75" customHeight="1">
      <c r="H56" s="3"/>
    </row>
    <row r="57" ht="15.75" customHeight="1">
      <c r="H57" s="3"/>
    </row>
    <row r="58" ht="15.75" customHeight="1">
      <c r="H58" s="3"/>
    </row>
    <row r="59" ht="15.75" customHeight="1">
      <c r="H59" s="3"/>
    </row>
    <row r="60" ht="15.75" customHeight="1">
      <c r="H60" s="3"/>
    </row>
    <row r="61" ht="15.75" customHeight="1">
      <c r="H61" s="3"/>
    </row>
    <row r="62" ht="15.75" customHeight="1">
      <c r="H62" s="3"/>
    </row>
    <row r="63" ht="15.75" customHeight="1">
      <c r="H63" s="3"/>
    </row>
    <row r="64" ht="15.75" customHeight="1">
      <c r="H64" s="3"/>
    </row>
    <row r="65" ht="15.75" customHeight="1">
      <c r="H65" s="3"/>
    </row>
    <row r="66" ht="15.75" customHeight="1">
      <c r="H66" s="3"/>
    </row>
    <row r="67" ht="15.75" customHeight="1">
      <c r="H67" s="3"/>
    </row>
    <row r="68" ht="15.75" customHeight="1">
      <c r="H68" s="3"/>
    </row>
    <row r="69" ht="15.75" customHeight="1">
      <c r="H69" s="3"/>
    </row>
    <row r="70" ht="15.75" customHeight="1">
      <c r="H70" s="3"/>
    </row>
    <row r="71" ht="15.75" customHeight="1">
      <c r="H71" s="3"/>
    </row>
    <row r="72" ht="15.75" customHeight="1">
      <c r="H72" s="3"/>
    </row>
    <row r="73" ht="15.75" customHeight="1">
      <c r="H73" s="3"/>
    </row>
    <row r="74" ht="15.75" customHeight="1">
      <c r="H74" s="3"/>
    </row>
    <row r="75" ht="15.75" customHeight="1">
      <c r="H75" s="3"/>
    </row>
    <row r="76" ht="15.75" customHeight="1">
      <c r="H76" s="3"/>
    </row>
    <row r="77" ht="15.75" customHeight="1">
      <c r="H77" s="3"/>
    </row>
    <row r="78" ht="15.75" customHeight="1">
      <c r="H78" s="3"/>
    </row>
    <row r="79" ht="15.75" customHeight="1">
      <c r="H79" s="3"/>
    </row>
    <row r="80" ht="15.75" customHeight="1">
      <c r="H80" s="3"/>
    </row>
    <row r="81" ht="15.75" customHeight="1">
      <c r="H81" s="3"/>
    </row>
    <row r="82" ht="15.75" customHeight="1">
      <c r="H82" s="3"/>
    </row>
    <row r="83" ht="15.75" customHeight="1">
      <c r="H83" s="3"/>
    </row>
    <row r="84" ht="15.75" customHeight="1">
      <c r="H84" s="3"/>
    </row>
    <row r="85" ht="15.75" customHeight="1">
      <c r="H85" s="3"/>
    </row>
    <row r="86" ht="15.75" customHeight="1">
      <c r="H86" s="3"/>
    </row>
    <row r="87" ht="15.75" customHeight="1">
      <c r="H87" s="3"/>
    </row>
    <row r="88" ht="15.75" customHeight="1">
      <c r="H88" s="3"/>
    </row>
    <row r="89" ht="15.75" customHeight="1">
      <c r="H89" s="3"/>
    </row>
    <row r="90" ht="15.75" customHeight="1">
      <c r="H90" s="3"/>
    </row>
    <row r="91" ht="15.75" customHeight="1">
      <c r="H91" s="3"/>
    </row>
    <row r="92" ht="15.75" customHeight="1">
      <c r="H92" s="3"/>
    </row>
    <row r="93" ht="15.75" customHeight="1">
      <c r="H93" s="3"/>
    </row>
    <row r="94" ht="15.75" customHeight="1">
      <c r="H94" s="3"/>
    </row>
    <row r="95" ht="15.75" customHeight="1">
      <c r="H95" s="3"/>
    </row>
    <row r="96" ht="15.75" customHeight="1">
      <c r="H96" s="3"/>
    </row>
    <row r="97" ht="15.75" customHeight="1">
      <c r="H97" s="3"/>
    </row>
    <row r="98" ht="15.75" customHeight="1">
      <c r="H98" s="3"/>
    </row>
    <row r="99" ht="15.75" customHeight="1">
      <c r="H99" s="3"/>
    </row>
    <row r="100" ht="15.75" customHeight="1">
      <c r="H100" s="3"/>
    </row>
    <row r="101" ht="15.75" customHeight="1">
      <c r="H101" s="3"/>
    </row>
    <row r="102" ht="15.75" customHeight="1">
      <c r="H102" s="3"/>
    </row>
    <row r="103" ht="15.75" customHeight="1">
      <c r="H103" s="3"/>
    </row>
    <row r="104" ht="15.75" customHeight="1">
      <c r="H104" s="3"/>
    </row>
    <row r="105" ht="15.75" customHeight="1">
      <c r="H105" s="3"/>
    </row>
    <row r="106" ht="15.75" customHeight="1">
      <c r="H106" s="3"/>
    </row>
    <row r="107" ht="15.75" customHeight="1">
      <c r="H107" s="3"/>
    </row>
    <row r="108" ht="15.75" customHeight="1">
      <c r="H108" s="3"/>
    </row>
    <row r="109" ht="15.75" customHeight="1">
      <c r="H109" s="3"/>
    </row>
    <row r="110" ht="15.75" customHeight="1">
      <c r="H110" s="3"/>
    </row>
    <row r="111" ht="15.75" customHeight="1">
      <c r="H111" s="3"/>
    </row>
    <row r="112" ht="15.75" customHeight="1">
      <c r="H112" s="3"/>
    </row>
    <row r="113" ht="15.75" customHeight="1">
      <c r="H113" s="3"/>
    </row>
    <row r="114" ht="15.75" customHeight="1">
      <c r="H114" s="3"/>
    </row>
    <row r="115" ht="15.75" customHeight="1">
      <c r="H115" s="3"/>
    </row>
    <row r="116" ht="15.75" customHeight="1">
      <c r="H116" s="3"/>
    </row>
    <row r="117" ht="15.75" customHeight="1">
      <c r="H117" s="3"/>
    </row>
    <row r="118" ht="15.75" customHeight="1">
      <c r="H118" s="3"/>
    </row>
    <row r="119" ht="15.75" customHeight="1">
      <c r="H119" s="3"/>
    </row>
    <row r="120" ht="15.75" customHeight="1">
      <c r="H120" s="3"/>
    </row>
    <row r="121" ht="15.75" customHeight="1">
      <c r="H121" s="3"/>
    </row>
    <row r="122" ht="15.75" customHeight="1">
      <c r="H122" s="3"/>
    </row>
    <row r="123" ht="15.75" customHeight="1">
      <c r="H123" s="3"/>
    </row>
    <row r="124" ht="15.75" customHeight="1">
      <c r="H124" s="3"/>
    </row>
    <row r="125" ht="15.75" customHeight="1">
      <c r="H125" s="3"/>
    </row>
    <row r="126" ht="15.75" customHeight="1">
      <c r="H126" s="3"/>
    </row>
    <row r="127" ht="15.75" customHeight="1">
      <c r="H127" s="3"/>
    </row>
    <row r="128" ht="15.75" customHeight="1">
      <c r="H128" s="3"/>
    </row>
    <row r="129" ht="15.75" customHeight="1">
      <c r="H129" s="3"/>
    </row>
    <row r="130" ht="15.75" customHeight="1">
      <c r="H130" s="3"/>
    </row>
    <row r="131" ht="15.75" customHeight="1">
      <c r="H131" s="3"/>
    </row>
    <row r="132" ht="15.75" customHeight="1">
      <c r="H132" s="3"/>
    </row>
    <row r="133" ht="15.75" customHeight="1">
      <c r="H133" s="3"/>
    </row>
    <row r="134" ht="15.75" customHeight="1">
      <c r="H134" s="3"/>
    </row>
    <row r="135" ht="15.75" customHeight="1">
      <c r="H135" s="3"/>
    </row>
    <row r="136" ht="15.75" customHeight="1">
      <c r="H136" s="3"/>
    </row>
    <row r="137" ht="15.75" customHeight="1">
      <c r="H137" s="3"/>
    </row>
    <row r="138" ht="15.75" customHeight="1">
      <c r="H138" s="3"/>
    </row>
    <row r="139" ht="15.75" customHeight="1">
      <c r="H139" s="3"/>
    </row>
    <row r="140" ht="15.75" customHeight="1">
      <c r="H140" s="3"/>
    </row>
    <row r="141" ht="15.75" customHeight="1">
      <c r="H141" s="3"/>
    </row>
    <row r="142" ht="15.75" customHeight="1">
      <c r="H142" s="3"/>
    </row>
    <row r="143" ht="15.75" customHeight="1">
      <c r="H143" s="3"/>
    </row>
    <row r="144" ht="15.75" customHeight="1">
      <c r="H144" s="3"/>
    </row>
    <row r="145" ht="15.75" customHeight="1">
      <c r="H145" s="3"/>
    </row>
    <row r="146" ht="15.75" customHeight="1">
      <c r="H146" s="3"/>
    </row>
    <row r="147" ht="15.75" customHeight="1">
      <c r="H147" s="3"/>
    </row>
    <row r="148" ht="15.75" customHeight="1">
      <c r="H148" s="3"/>
    </row>
    <row r="149" ht="15.75" customHeight="1">
      <c r="H149" s="3"/>
    </row>
    <row r="150" ht="15.75" customHeight="1">
      <c r="H150" s="3"/>
    </row>
    <row r="151" ht="15.75" customHeight="1">
      <c r="H151" s="3"/>
    </row>
    <row r="152" ht="15.75" customHeight="1">
      <c r="H152" s="3"/>
    </row>
    <row r="153" ht="15.75" customHeight="1">
      <c r="H153" s="3"/>
    </row>
    <row r="154" ht="15.75" customHeight="1">
      <c r="H154" s="3"/>
    </row>
    <row r="155" ht="15.75" customHeight="1">
      <c r="H155" s="3"/>
    </row>
    <row r="156" ht="15.75" customHeight="1">
      <c r="H156" s="3"/>
    </row>
    <row r="157" ht="15.75" customHeight="1">
      <c r="H157" s="3"/>
    </row>
    <row r="158" ht="15.75" customHeight="1">
      <c r="H158" s="3"/>
    </row>
    <row r="159" ht="15.75" customHeight="1">
      <c r="H159" s="3"/>
    </row>
    <row r="160" ht="15.75" customHeight="1">
      <c r="H160" s="3"/>
    </row>
    <row r="161" ht="15.75" customHeight="1">
      <c r="H161" s="3"/>
    </row>
    <row r="162" ht="15.75" customHeight="1">
      <c r="H162" s="3"/>
    </row>
    <row r="163" ht="15.75" customHeight="1">
      <c r="H163" s="3"/>
    </row>
    <row r="164" ht="15.75" customHeight="1">
      <c r="H164" s="3"/>
    </row>
    <row r="165" ht="15.75" customHeight="1">
      <c r="H165" s="3"/>
    </row>
    <row r="166" ht="15.75" customHeight="1">
      <c r="H166" s="3"/>
    </row>
    <row r="167" ht="15.75" customHeight="1">
      <c r="H167" s="3"/>
    </row>
    <row r="168" ht="15.75" customHeight="1">
      <c r="H168" s="3"/>
    </row>
    <row r="169" ht="15.75" customHeight="1">
      <c r="H169" s="3"/>
    </row>
    <row r="170" ht="15.75" customHeight="1">
      <c r="H170" s="3"/>
    </row>
    <row r="171" ht="15.75" customHeight="1">
      <c r="H171" s="3"/>
    </row>
    <row r="172" ht="15.75" customHeight="1">
      <c r="H172" s="3"/>
    </row>
    <row r="173" ht="15.75" customHeight="1">
      <c r="H173" s="3"/>
    </row>
    <row r="174" ht="15.75" customHeight="1">
      <c r="H174" s="3"/>
    </row>
    <row r="175" ht="15.75" customHeight="1">
      <c r="H175" s="3"/>
    </row>
    <row r="176" ht="15.75" customHeight="1">
      <c r="H176" s="3"/>
    </row>
    <row r="177" ht="15.75" customHeight="1">
      <c r="H177" s="3"/>
    </row>
    <row r="178" ht="15.75" customHeight="1">
      <c r="H178" s="3"/>
    </row>
    <row r="179" ht="15.75" customHeight="1">
      <c r="H179" s="3"/>
    </row>
    <row r="180" ht="15.75" customHeight="1">
      <c r="H180" s="3"/>
    </row>
    <row r="181" ht="15.75" customHeight="1">
      <c r="H181" s="3"/>
    </row>
    <row r="182" ht="15.75" customHeight="1">
      <c r="H182" s="3"/>
    </row>
    <row r="183" ht="15.75" customHeight="1">
      <c r="H183" s="3"/>
    </row>
    <row r="184" ht="15.75" customHeight="1">
      <c r="H184" s="3"/>
    </row>
    <row r="185" ht="15.75" customHeight="1">
      <c r="H185" s="3"/>
    </row>
    <row r="186" ht="15.75" customHeight="1">
      <c r="H186" s="3"/>
    </row>
    <row r="187" ht="15.75" customHeight="1">
      <c r="H187" s="3"/>
    </row>
    <row r="188" ht="15.75" customHeight="1">
      <c r="H188" s="3"/>
    </row>
    <row r="189" ht="15.75" customHeight="1">
      <c r="H189" s="3"/>
    </row>
    <row r="190" ht="15.75" customHeight="1">
      <c r="H190" s="3"/>
    </row>
    <row r="191" ht="15.75" customHeight="1">
      <c r="H191" s="3"/>
    </row>
    <row r="192" ht="15.75" customHeight="1">
      <c r="H192" s="3"/>
    </row>
    <row r="193" ht="15.75" customHeight="1">
      <c r="H193" s="3"/>
    </row>
    <row r="194" ht="15.75" customHeight="1">
      <c r="H194" s="3"/>
    </row>
    <row r="195" ht="15.75" customHeight="1">
      <c r="H195" s="3"/>
    </row>
    <row r="196" ht="15.75" customHeight="1">
      <c r="H196" s="3"/>
    </row>
    <row r="197" ht="15.75" customHeight="1">
      <c r="H197" s="3"/>
    </row>
    <row r="198" ht="15.75" customHeight="1">
      <c r="H198" s="3"/>
    </row>
    <row r="199" ht="15.75" customHeight="1">
      <c r="H199" s="3"/>
    </row>
    <row r="200" ht="15.75" customHeight="1">
      <c r="H200" s="3"/>
    </row>
    <row r="201" ht="15.75" customHeight="1">
      <c r="H201" s="3"/>
    </row>
    <row r="202" ht="15.75" customHeight="1">
      <c r="H202" s="3"/>
    </row>
    <row r="203" ht="15.75" customHeight="1">
      <c r="H203" s="3"/>
    </row>
    <row r="204" ht="15.75" customHeight="1">
      <c r="H204" s="3"/>
    </row>
    <row r="205" ht="15.75" customHeight="1">
      <c r="H205" s="3"/>
    </row>
    <row r="206" ht="15.75" customHeight="1">
      <c r="H206" s="3"/>
    </row>
    <row r="207" ht="15.75" customHeight="1">
      <c r="H207" s="3"/>
    </row>
    <row r="208" ht="15.75" customHeight="1">
      <c r="H208" s="3"/>
    </row>
    <row r="209" ht="15.75" customHeight="1">
      <c r="H209" s="3"/>
    </row>
    <row r="210" ht="15.75" customHeight="1">
      <c r="H210" s="3"/>
    </row>
    <row r="211" ht="15.75" customHeight="1">
      <c r="H211" s="3"/>
    </row>
    <row r="212" ht="15.75" customHeight="1">
      <c r="H212" s="3"/>
    </row>
    <row r="213" ht="15.75" customHeight="1">
      <c r="H213" s="3"/>
    </row>
    <row r="214" ht="15.75" customHeight="1">
      <c r="H214" s="3"/>
    </row>
    <row r="215" ht="15.75" customHeight="1">
      <c r="H215" s="3"/>
    </row>
    <row r="216" ht="15.75" customHeight="1">
      <c r="H216" s="3"/>
    </row>
    <row r="217" ht="15.75" customHeight="1">
      <c r="H217" s="3"/>
    </row>
    <row r="218" ht="15.75" customHeight="1">
      <c r="H218" s="3"/>
    </row>
    <row r="219" ht="15.75" customHeight="1">
      <c r="H219" s="3"/>
    </row>
    <row r="220" ht="15.75" customHeight="1">
      <c r="H220" s="3"/>
    </row>
    <row r="221" ht="15.75" customHeight="1">
      <c r="H221" s="3"/>
    </row>
    <row r="222" ht="15.75" customHeight="1">
      <c r="H222" s="3"/>
    </row>
    <row r="223" ht="15.75" customHeight="1">
      <c r="H223" s="3"/>
    </row>
    <row r="224" ht="15.75" customHeight="1">
      <c r="H224" s="3"/>
    </row>
    <row r="225" ht="15.75" customHeight="1">
      <c r="H225" s="3"/>
    </row>
    <row r="226" ht="15.75" customHeight="1">
      <c r="H226" s="3"/>
    </row>
    <row r="227" ht="15.75" customHeight="1">
      <c r="H227" s="3"/>
    </row>
    <row r="228" ht="15.75" customHeight="1">
      <c r="H228" s="3"/>
    </row>
    <row r="229" ht="15.75" customHeight="1">
      <c r="H229" s="3"/>
    </row>
    <row r="230" ht="15.75" customHeight="1">
      <c r="H230" s="3"/>
    </row>
    <row r="231" ht="15.75" customHeight="1">
      <c r="H231" s="3"/>
    </row>
    <row r="232" ht="15.75" customHeight="1">
      <c r="H232" s="3"/>
    </row>
    <row r="233" ht="15.75" customHeight="1">
      <c r="H233" s="3"/>
    </row>
    <row r="234" ht="15.75" customHeight="1">
      <c r="H234" s="3"/>
    </row>
    <row r="235" ht="15.75" customHeight="1">
      <c r="H235" s="3"/>
    </row>
    <row r="236" ht="15.75" customHeight="1">
      <c r="H236" s="3"/>
    </row>
    <row r="237" ht="15.75" customHeight="1">
      <c r="H237" s="3"/>
    </row>
    <row r="238" ht="15.75" customHeight="1">
      <c r="H238" s="3"/>
    </row>
    <row r="239" ht="15.75" customHeight="1">
      <c r="H239" s="3"/>
    </row>
    <row r="240" ht="15.75" customHeight="1">
      <c r="H240" s="3"/>
    </row>
    <row r="241" ht="15.75" customHeight="1">
      <c r="H241" s="3"/>
    </row>
    <row r="242" ht="15.75" customHeight="1">
      <c r="H242" s="3"/>
    </row>
    <row r="243" ht="15.75" customHeight="1">
      <c r="H243" s="3"/>
    </row>
    <row r="244" ht="15.75" customHeight="1">
      <c r="H244" s="3"/>
    </row>
    <row r="245" ht="15.75" customHeight="1">
      <c r="H245" s="3"/>
    </row>
    <row r="246" ht="15.75" customHeight="1">
      <c r="H246" s="3"/>
    </row>
    <row r="247" ht="15.75" customHeight="1">
      <c r="H247" s="3"/>
    </row>
    <row r="248" ht="15.75" customHeight="1">
      <c r="H248" s="3"/>
    </row>
    <row r="249" ht="15.75" customHeight="1">
      <c r="H249" s="3"/>
    </row>
    <row r="250" ht="15.75" customHeight="1">
      <c r="H250" s="3"/>
    </row>
    <row r="251" ht="15.75" customHeight="1">
      <c r="H251" s="3"/>
    </row>
    <row r="252" ht="15.75" customHeight="1">
      <c r="H252" s="3"/>
    </row>
    <row r="253" ht="15.75" customHeight="1">
      <c r="H253" s="3"/>
    </row>
    <row r="254" ht="15.75" customHeight="1">
      <c r="H254" s="3"/>
    </row>
    <row r="255" ht="15.75" customHeight="1">
      <c r="H255" s="3"/>
    </row>
    <row r="256" ht="15.75" customHeight="1">
      <c r="H256" s="3"/>
    </row>
    <row r="257" ht="15.75" customHeight="1">
      <c r="H257" s="3"/>
    </row>
    <row r="258" ht="15.75" customHeight="1">
      <c r="H258" s="3"/>
    </row>
    <row r="259" ht="15.75" customHeight="1">
      <c r="H259" s="3"/>
    </row>
    <row r="260" ht="15.75" customHeight="1">
      <c r="H260" s="3"/>
    </row>
    <row r="261" ht="15.75" customHeight="1">
      <c r="H261" s="3"/>
    </row>
    <row r="262" ht="15.75" customHeight="1">
      <c r="H262" s="3"/>
    </row>
    <row r="263" ht="15.75" customHeight="1">
      <c r="H263" s="3"/>
    </row>
    <row r="264" ht="15.75" customHeight="1">
      <c r="H264" s="3"/>
    </row>
    <row r="265" ht="15.75" customHeight="1">
      <c r="H265" s="3"/>
    </row>
    <row r="266" ht="15.75" customHeight="1">
      <c r="H266" s="3"/>
    </row>
    <row r="267" ht="15.75" customHeight="1">
      <c r="H267" s="3"/>
    </row>
    <row r="268" ht="15.75" customHeight="1">
      <c r="H268" s="3"/>
    </row>
    <row r="269" ht="15.75" customHeight="1">
      <c r="H269" s="3"/>
    </row>
    <row r="270" ht="15.75" customHeight="1">
      <c r="H270" s="3"/>
    </row>
    <row r="271" ht="15.75" customHeight="1">
      <c r="H271" s="3"/>
    </row>
    <row r="272" ht="15.75" customHeight="1">
      <c r="H272" s="3"/>
    </row>
    <row r="273" ht="15.75" customHeight="1">
      <c r="H273" s="3"/>
    </row>
    <row r="274" ht="15.75" customHeight="1">
      <c r="H274" s="3"/>
    </row>
    <row r="275" ht="15.75" customHeight="1">
      <c r="H275" s="3"/>
    </row>
    <row r="276" ht="15.75" customHeight="1">
      <c r="H276" s="3"/>
    </row>
    <row r="277" ht="15.75" customHeight="1">
      <c r="H277" s="3"/>
    </row>
    <row r="278" ht="15.75" customHeight="1">
      <c r="H278" s="3"/>
    </row>
    <row r="279" ht="15.75" customHeight="1">
      <c r="H279" s="3"/>
    </row>
    <row r="280" ht="15.75" customHeight="1">
      <c r="H280" s="3"/>
    </row>
    <row r="281" ht="15.75" customHeight="1">
      <c r="H281" s="3"/>
    </row>
    <row r="282" ht="15.75" customHeight="1">
      <c r="H282" s="3"/>
    </row>
    <row r="283" ht="15.75" customHeight="1">
      <c r="H283" s="3"/>
    </row>
    <row r="284" ht="15.75" customHeight="1">
      <c r="H284" s="3"/>
    </row>
    <row r="285" ht="15.75" customHeight="1">
      <c r="H285" s="3"/>
    </row>
    <row r="286" ht="15.75" customHeight="1">
      <c r="H286" s="3"/>
    </row>
    <row r="287" ht="15.75" customHeight="1">
      <c r="H287" s="3"/>
    </row>
    <row r="288" ht="15.75" customHeight="1">
      <c r="H288" s="3"/>
    </row>
    <row r="289" ht="15.75" customHeight="1">
      <c r="H289" s="3"/>
    </row>
    <row r="290" ht="15.75" customHeight="1">
      <c r="H290" s="3"/>
    </row>
    <row r="291" ht="15.75" customHeight="1">
      <c r="H291" s="3"/>
    </row>
    <row r="292" ht="15.75" customHeight="1">
      <c r="H292" s="3"/>
    </row>
    <row r="293" ht="15.75" customHeight="1">
      <c r="H293" s="3"/>
    </row>
    <row r="294" ht="15.75" customHeight="1">
      <c r="H294" s="3"/>
    </row>
    <row r="295" ht="15.75" customHeight="1">
      <c r="H295" s="3"/>
    </row>
    <row r="296" ht="15.75" customHeight="1">
      <c r="H296" s="3"/>
    </row>
    <row r="297" ht="15.75" customHeight="1">
      <c r="H297" s="3"/>
    </row>
    <row r="298" ht="15.75" customHeight="1">
      <c r="H298" s="3"/>
    </row>
    <row r="299" ht="15.75" customHeight="1">
      <c r="H299" s="3"/>
    </row>
    <row r="300" ht="15.75" customHeight="1">
      <c r="H300" s="3"/>
    </row>
    <row r="301" ht="15.75" customHeight="1">
      <c r="H301" s="3"/>
    </row>
    <row r="302" ht="15.75" customHeight="1">
      <c r="H302" s="3"/>
    </row>
    <row r="303" ht="15.75" customHeight="1">
      <c r="H303" s="3"/>
    </row>
    <row r="304" ht="15.75" customHeight="1">
      <c r="H304" s="3"/>
    </row>
    <row r="305" ht="15.75" customHeight="1">
      <c r="H305" s="3"/>
    </row>
    <row r="306" ht="15.75" customHeight="1">
      <c r="H306" s="3"/>
    </row>
    <row r="307" ht="15.75" customHeight="1">
      <c r="H307" s="3"/>
    </row>
    <row r="308" ht="15.75" customHeight="1">
      <c r="H308" s="3"/>
    </row>
    <row r="309" ht="15.75" customHeight="1">
      <c r="H309" s="3"/>
    </row>
    <row r="310" ht="15.75" customHeight="1">
      <c r="H310" s="3"/>
    </row>
    <row r="311" ht="15.75" customHeight="1">
      <c r="H311" s="3"/>
    </row>
    <row r="312" ht="15.75" customHeight="1">
      <c r="H312" s="3"/>
    </row>
    <row r="313" ht="15.75" customHeight="1">
      <c r="H313" s="3"/>
    </row>
    <row r="314" ht="15.75" customHeight="1">
      <c r="H314" s="3"/>
    </row>
    <row r="315" ht="15.75" customHeight="1">
      <c r="H315" s="3"/>
    </row>
    <row r="316" ht="15.75" customHeight="1">
      <c r="H316" s="3"/>
    </row>
    <row r="317" ht="15.75" customHeight="1">
      <c r="H317" s="3"/>
    </row>
    <row r="318" ht="15.75" customHeight="1">
      <c r="H318" s="3"/>
    </row>
    <row r="319" ht="15.75" customHeight="1">
      <c r="H319" s="3"/>
    </row>
    <row r="320" ht="15.75" customHeight="1">
      <c r="H320" s="3"/>
    </row>
    <row r="321" ht="15.75" customHeight="1">
      <c r="H321" s="3"/>
    </row>
    <row r="322" ht="15.75" customHeight="1">
      <c r="H322" s="3"/>
    </row>
    <row r="323" ht="15.75" customHeight="1">
      <c r="H323" s="3"/>
    </row>
    <row r="324" ht="15.75" customHeight="1">
      <c r="H324" s="3"/>
    </row>
    <row r="325" ht="15.75" customHeight="1">
      <c r="H325" s="3"/>
    </row>
    <row r="326" ht="15.75" customHeight="1">
      <c r="H326" s="3"/>
    </row>
    <row r="327" ht="15.75" customHeight="1">
      <c r="H327" s="3"/>
    </row>
    <row r="328" ht="15.75" customHeight="1">
      <c r="H328" s="3"/>
    </row>
    <row r="329" ht="15.75" customHeight="1">
      <c r="H329" s="3"/>
    </row>
    <row r="330" ht="15.75" customHeight="1">
      <c r="H330" s="3"/>
    </row>
    <row r="331" ht="15.75" customHeight="1">
      <c r="H331" s="3"/>
    </row>
    <row r="332" ht="15.75" customHeight="1">
      <c r="H332" s="3"/>
    </row>
    <row r="333" ht="15.75" customHeight="1">
      <c r="H333" s="3"/>
    </row>
    <row r="334" ht="15.75" customHeight="1">
      <c r="H334" s="3"/>
    </row>
    <row r="335" ht="15.75" customHeight="1">
      <c r="H335" s="3"/>
    </row>
    <row r="336" ht="15.75" customHeight="1">
      <c r="H336" s="3"/>
    </row>
    <row r="337" ht="15.75" customHeight="1">
      <c r="H337" s="3"/>
    </row>
    <row r="338" ht="15.75" customHeight="1">
      <c r="H338" s="3"/>
    </row>
    <row r="339" ht="15.75" customHeight="1">
      <c r="H339" s="3"/>
    </row>
    <row r="340" ht="15.75" customHeight="1">
      <c r="H340" s="3"/>
    </row>
    <row r="341" ht="15.75" customHeight="1">
      <c r="H341" s="3"/>
    </row>
    <row r="342" ht="15.75" customHeight="1">
      <c r="H342" s="3"/>
    </row>
    <row r="343" ht="15.75" customHeight="1">
      <c r="H343" s="3"/>
    </row>
    <row r="344" ht="15.75" customHeight="1">
      <c r="H344" s="3"/>
    </row>
    <row r="345" ht="15.75" customHeight="1">
      <c r="H345" s="3"/>
    </row>
    <row r="346" ht="15.75" customHeight="1">
      <c r="H346" s="3"/>
    </row>
    <row r="347" ht="15.75" customHeight="1">
      <c r="H347" s="3"/>
    </row>
    <row r="348" ht="15.75" customHeight="1">
      <c r="H348" s="3"/>
    </row>
    <row r="349" ht="15.75" customHeight="1">
      <c r="H349" s="3"/>
    </row>
    <row r="350" ht="15.75" customHeight="1">
      <c r="H350" s="3"/>
    </row>
    <row r="351" ht="15.75" customHeight="1">
      <c r="H351" s="3"/>
    </row>
    <row r="352" ht="15.75" customHeight="1">
      <c r="H352" s="3"/>
    </row>
    <row r="353" ht="15.75" customHeight="1">
      <c r="H353" s="3"/>
    </row>
    <row r="354" ht="15.75" customHeight="1">
      <c r="H354" s="3"/>
    </row>
    <row r="355" ht="15.75" customHeight="1">
      <c r="H355" s="3"/>
    </row>
    <row r="356" ht="15.75" customHeight="1">
      <c r="H356" s="3"/>
    </row>
    <row r="357" ht="15.75" customHeight="1">
      <c r="H357" s="3"/>
    </row>
    <row r="358" ht="15.75" customHeight="1">
      <c r="H358" s="3"/>
    </row>
    <row r="359" ht="15.75" customHeight="1">
      <c r="H359" s="3"/>
    </row>
    <row r="360" ht="15.75" customHeight="1">
      <c r="H360" s="3"/>
    </row>
    <row r="361" ht="15.75" customHeight="1">
      <c r="H361" s="3"/>
    </row>
    <row r="362" ht="15.75" customHeight="1">
      <c r="H362" s="3"/>
    </row>
    <row r="363" ht="15.75" customHeight="1">
      <c r="H363" s="3"/>
    </row>
    <row r="364" ht="15.75" customHeight="1">
      <c r="H364" s="3"/>
    </row>
    <row r="365" ht="15.75" customHeight="1">
      <c r="H365" s="3"/>
    </row>
    <row r="366" ht="15.75" customHeight="1">
      <c r="H366" s="3"/>
    </row>
    <row r="367" ht="15.75" customHeight="1">
      <c r="H367" s="3"/>
    </row>
    <row r="368" ht="15.75" customHeight="1">
      <c r="H368" s="3"/>
    </row>
    <row r="369" ht="15.75" customHeight="1">
      <c r="H369" s="3"/>
    </row>
    <row r="370" ht="15.75" customHeight="1">
      <c r="H370" s="3"/>
    </row>
    <row r="371" ht="15.75" customHeight="1">
      <c r="H371" s="3"/>
    </row>
    <row r="372" ht="15.75" customHeight="1">
      <c r="H372" s="3"/>
    </row>
    <row r="373" ht="15.75" customHeight="1">
      <c r="H373" s="3"/>
    </row>
    <row r="374" ht="15.75" customHeight="1">
      <c r="H374" s="3"/>
    </row>
    <row r="375" ht="15.75" customHeight="1">
      <c r="H375" s="3"/>
    </row>
    <row r="376" ht="15.75" customHeight="1">
      <c r="H376" s="3"/>
    </row>
    <row r="377" ht="15.75" customHeight="1">
      <c r="H377" s="3"/>
    </row>
    <row r="378" ht="15.75" customHeight="1">
      <c r="H378" s="3"/>
    </row>
    <row r="379" ht="15.75" customHeight="1">
      <c r="H379" s="3"/>
    </row>
    <row r="380" ht="15.75" customHeight="1">
      <c r="H380" s="3"/>
    </row>
    <row r="381" ht="15.75" customHeight="1">
      <c r="H381" s="3"/>
    </row>
    <row r="382" ht="15.75" customHeight="1">
      <c r="H382" s="3"/>
    </row>
    <row r="383" ht="15.75" customHeight="1">
      <c r="H383" s="3"/>
    </row>
    <row r="384" ht="15.75" customHeight="1">
      <c r="H384" s="3"/>
    </row>
    <row r="385" ht="15.75" customHeight="1">
      <c r="H385" s="3"/>
    </row>
    <row r="386" ht="15.75" customHeight="1">
      <c r="H386" s="3"/>
    </row>
    <row r="387" ht="15.75" customHeight="1">
      <c r="H387" s="3"/>
    </row>
    <row r="388" ht="15.75" customHeight="1">
      <c r="H388" s="3"/>
    </row>
    <row r="389" ht="15.75" customHeight="1">
      <c r="H389" s="3"/>
    </row>
    <row r="390" ht="15.75" customHeight="1">
      <c r="H390" s="3"/>
    </row>
    <row r="391" ht="15.75" customHeight="1">
      <c r="H391" s="3"/>
    </row>
    <row r="392" ht="15.75" customHeight="1">
      <c r="H392" s="3"/>
    </row>
    <row r="393" ht="15.75" customHeight="1">
      <c r="H393" s="3"/>
    </row>
    <row r="394" ht="15.75" customHeight="1">
      <c r="H394" s="3"/>
    </row>
    <row r="395" ht="15.75" customHeight="1">
      <c r="H395" s="3"/>
    </row>
    <row r="396" ht="15.75" customHeight="1">
      <c r="H396" s="3"/>
    </row>
    <row r="397" ht="15.75" customHeight="1">
      <c r="H397" s="3"/>
    </row>
    <row r="398" ht="15.75" customHeight="1">
      <c r="H398" s="3"/>
    </row>
    <row r="399" ht="15.75" customHeight="1">
      <c r="H399" s="3"/>
    </row>
    <row r="400" ht="15.75" customHeight="1">
      <c r="H400" s="3"/>
    </row>
    <row r="401" ht="15.75" customHeight="1">
      <c r="H401" s="3"/>
    </row>
    <row r="402" ht="15.75" customHeight="1">
      <c r="H402" s="3"/>
    </row>
    <row r="403" ht="15.75" customHeight="1">
      <c r="H403" s="3"/>
    </row>
    <row r="404" ht="15.75" customHeight="1">
      <c r="H404" s="3"/>
    </row>
    <row r="405" ht="15.75" customHeight="1">
      <c r="H405" s="3"/>
    </row>
    <row r="406" ht="15.75" customHeight="1">
      <c r="H406" s="3"/>
    </row>
    <row r="407" ht="15.75" customHeight="1">
      <c r="H407" s="3"/>
    </row>
    <row r="408" ht="15.75" customHeight="1">
      <c r="H408" s="3"/>
    </row>
    <row r="409" ht="15.75" customHeight="1">
      <c r="H409" s="3"/>
    </row>
    <row r="410" ht="15.75" customHeight="1">
      <c r="H410" s="3"/>
    </row>
    <row r="411" ht="15.75" customHeight="1">
      <c r="H411" s="3"/>
    </row>
    <row r="412" ht="15.75" customHeight="1">
      <c r="H412" s="3"/>
    </row>
    <row r="413" ht="15.75" customHeight="1">
      <c r="H413" s="3"/>
    </row>
    <row r="414" ht="15.75" customHeight="1">
      <c r="H414" s="3"/>
    </row>
    <row r="415" ht="15.75" customHeight="1">
      <c r="H415" s="3"/>
    </row>
    <row r="416" ht="15.75" customHeight="1">
      <c r="H416" s="3"/>
    </row>
    <row r="417" ht="15.75" customHeight="1">
      <c r="H417" s="3"/>
    </row>
    <row r="418" ht="15.75" customHeight="1">
      <c r="H418" s="3"/>
    </row>
    <row r="419" ht="15.75" customHeight="1">
      <c r="H419" s="3"/>
    </row>
    <row r="420" ht="15.75" customHeight="1">
      <c r="H420" s="3"/>
    </row>
    <row r="421" ht="15.75" customHeight="1">
      <c r="H421" s="3"/>
    </row>
    <row r="422" ht="15.75" customHeight="1">
      <c r="H422" s="3"/>
    </row>
    <row r="423" ht="15.75" customHeight="1">
      <c r="H423" s="3"/>
    </row>
    <row r="424" ht="15.75" customHeight="1">
      <c r="H424" s="3"/>
    </row>
    <row r="425" ht="15.75" customHeight="1">
      <c r="H425" s="3"/>
    </row>
    <row r="426" ht="15.75" customHeight="1">
      <c r="H426" s="3"/>
    </row>
    <row r="427" ht="15.75" customHeight="1">
      <c r="H427" s="3"/>
    </row>
    <row r="428" ht="15.75" customHeight="1">
      <c r="H428" s="3"/>
    </row>
    <row r="429" ht="15.75" customHeight="1">
      <c r="H429" s="3"/>
    </row>
    <row r="430" ht="15.75" customHeight="1">
      <c r="H430" s="3"/>
    </row>
    <row r="431" ht="15.75" customHeight="1">
      <c r="H431" s="3"/>
    </row>
    <row r="432" ht="15.75" customHeight="1">
      <c r="H432" s="3"/>
    </row>
    <row r="433" ht="15.75" customHeight="1">
      <c r="H433" s="3"/>
    </row>
    <row r="434" ht="15.75" customHeight="1">
      <c r="H434" s="3"/>
    </row>
    <row r="435" ht="15.75" customHeight="1">
      <c r="H435" s="3"/>
    </row>
    <row r="436" ht="15.75" customHeight="1">
      <c r="H436" s="3"/>
    </row>
    <row r="437" ht="15.75" customHeight="1">
      <c r="H437" s="3"/>
    </row>
    <row r="438" ht="15.75" customHeight="1">
      <c r="H438" s="3"/>
    </row>
    <row r="439" ht="15.75" customHeight="1">
      <c r="H439" s="3"/>
    </row>
    <row r="440" ht="15.75" customHeight="1">
      <c r="H440" s="3"/>
    </row>
    <row r="441" ht="15.75" customHeight="1">
      <c r="H441" s="3"/>
    </row>
    <row r="442" ht="15.75" customHeight="1">
      <c r="H442" s="3"/>
    </row>
    <row r="443" ht="15.75" customHeight="1">
      <c r="H443" s="3"/>
    </row>
    <row r="444" ht="15.75" customHeight="1">
      <c r="H444" s="3"/>
    </row>
    <row r="445" ht="15.75" customHeight="1">
      <c r="H445" s="3"/>
    </row>
    <row r="446" ht="15.75" customHeight="1">
      <c r="H446" s="3"/>
    </row>
    <row r="447" ht="15.75" customHeight="1">
      <c r="H447" s="3"/>
    </row>
    <row r="448" ht="15.75" customHeight="1">
      <c r="H448" s="3"/>
    </row>
    <row r="449" ht="15.75" customHeight="1">
      <c r="H449" s="3"/>
    </row>
    <row r="450" ht="15.75" customHeight="1">
      <c r="H450" s="3"/>
    </row>
    <row r="451" ht="15.75" customHeight="1">
      <c r="H451" s="3"/>
    </row>
    <row r="452" ht="15.75" customHeight="1">
      <c r="H452" s="3"/>
    </row>
    <row r="453" ht="15.75" customHeight="1">
      <c r="H453" s="3"/>
    </row>
    <row r="454" ht="15.75" customHeight="1">
      <c r="H454" s="3"/>
    </row>
    <row r="455" ht="15.75" customHeight="1">
      <c r="H455" s="3"/>
    </row>
    <row r="456" ht="15.75" customHeight="1">
      <c r="H456" s="3"/>
    </row>
    <row r="457" ht="15.75" customHeight="1">
      <c r="H457" s="3"/>
    </row>
    <row r="458" ht="15.75" customHeight="1">
      <c r="H458" s="3"/>
    </row>
    <row r="459" ht="15.75" customHeight="1">
      <c r="H459" s="3"/>
    </row>
    <row r="460" ht="15.75" customHeight="1">
      <c r="H460" s="3"/>
    </row>
    <row r="461" ht="15.75" customHeight="1">
      <c r="H461" s="3"/>
    </row>
    <row r="462" ht="15.75" customHeight="1">
      <c r="H462" s="3"/>
    </row>
    <row r="463" ht="15.75" customHeight="1">
      <c r="H463" s="3"/>
    </row>
    <row r="464" ht="15.75" customHeight="1">
      <c r="H464" s="3"/>
    </row>
    <row r="465" ht="15.75" customHeight="1">
      <c r="H465" s="3"/>
    </row>
    <row r="466" ht="15.75" customHeight="1">
      <c r="H466" s="3"/>
    </row>
    <row r="467" ht="15.75" customHeight="1">
      <c r="H467" s="3"/>
    </row>
    <row r="468" ht="15.75" customHeight="1">
      <c r="H468" s="3"/>
    </row>
    <row r="469" ht="15.75" customHeight="1">
      <c r="H469" s="3"/>
    </row>
    <row r="470" ht="15.75" customHeight="1">
      <c r="H470" s="3"/>
    </row>
    <row r="471" ht="15.75" customHeight="1">
      <c r="H471" s="3"/>
    </row>
    <row r="472" ht="15.75" customHeight="1">
      <c r="H472" s="3"/>
    </row>
    <row r="473" ht="15.75" customHeight="1">
      <c r="H473" s="3"/>
    </row>
    <row r="474" ht="15.75" customHeight="1">
      <c r="H474" s="3"/>
    </row>
    <row r="475" ht="15.75" customHeight="1">
      <c r="H475" s="3"/>
    </row>
    <row r="476" ht="15.75" customHeight="1">
      <c r="H476" s="3"/>
    </row>
    <row r="477" ht="15.75" customHeight="1">
      <c r="H477" s="3"/>
    </row>
    <row r="478" ht="15.75" customHeight="1">
      <c r="H478" s="3"/>
    </row>
    <row r="479" ht="15.75" customHeight="1">
      <c r="H479" s="3"/>
    </row>
    <row r="480" ht="15.75" customHeight="1">
      <c r="H480" s="3"/>
    </row>
    <row r="481" ht="15.75" customHeight="1">
      <c r="H481" s="3"/>
    </row>
    <row r="482" ht="15.75" customHeight="1">
      <c r="H482" s="3"/>
    </row>
    <row r="483" ht="15.75" customHeight="1">
      <c r="H483" s="3"/>
    </row>
    <row r="484" ht="15.75" customHeight="1">
      <c r="H484" s="3"/>
    </row>
    <row r="485" ht="15.75" customHeight="1">
      <c r="H485" s="3"/>
    </row>
    <row r="486" ht="15.75" customHeight="1">
      <c r="H486" s="3"/>
    </row>
    <row r="487" ht="15.75" customHeight="1">
      <c r="H487" s="3"/>
    </row>
    <row r="488" ht="15.75" customHeight="1">
      <c r="H488" s="3"/>
    </row>
    <row r="489" ht="15.75" customHeight="1">
      <c r="H489" s="3"/>
    </row>
    <row r="490" ht="15.75" customHeight="1">
      <c r="H490" s="3"/>
    </row>
    <row r="491" ht="15.75" customHeight="1">
      <c r="H491" s="3"/>
    </row>
    <row r="492" ht="15.75" customHeight="1">
      <c r="H492" s="3"/>
    </row>
    <row r="493" ht="15.75" customHeight="1">
      <c r="H493" s="3"/>
    </row>
    <row r="494" ht="15.75" customHeight="1">
      <c r="H494" s="3"/>
    </row>
    <row r="495" ht="15.75" customHeight="1">
      <c r="H495" s="3"/>
    </row>
    <row r="496" ht="15.75" customHeight="1">
      <c r="H496" s="3"/>
    </row>
    <row r="497" ht="15.75" customHeight="1">
      <c r="H497" s="3"/>
    </row>
    <row r="498" ht="15.75" customHeight="1">
      <c r="H498" s="3"/>
    </row>
    <row r="499" ht="15.75" customHeight="1">
      <c r="H499" s="3"/>
    </row>
    <row r="500" ht="15.75" customHeight="1">
      <c r="H500" s="3"/>
    </row>
    <row r="501" ht="15.75" customHeight="1">
      <c r="H501" s="3"/>
    </row>
    <row r="502" ht="15.75" customHeight="1">
      <c r="H502" s="3"/>
    </row>
    <row r="503" ht="15.75" customHeight="1">
      <c r="H503" s="3"/>
    </row>
    <row r="504" ht="15.75" customHeight="1">
      <c r="H504" s="3"/>
    </row>
    <row r="505" ht="15.75" customHeight="1">
      <c r="H505" s="3"/>
    </row>
    <row r="506" ht="15.75" customHeight="1">
      <c r="H506" s="3"/>
    </row>
    <row r="507" ht="15.75" customHeight="1">
      <c r="H507" s="3"/>
    </row>
    <row r="508" ht="15.75" customHeight="1">
      <c r="H508" s="3"/>
    </row>
    <row r="509" ht="15.75" customHeight="1">
      <c r="H509" s="3"/>
    </row>
    <row r="510" ht="15.75" customHeight="1">
      <c r="H510" s="3"/>
    </row>
    <row r="511" ht="15.75" customHeight="1">
      <c r="H511" s="3"/>
    </row>
    <row r="512" ht="15.75" customHeight="1">
      <c r="H512" s="3"/>
    </row>
    <row r="513" ht="15.75" customHeight="1">
      <c r="H513" s="3"/>
    </row>
    <row r="514" ht="15.75" customHeight="1">
      <c r="H514" s="3"/>
    </row>
    <row r="515" ht="15.75" customHeight="1">
      <c r="H515" s="3"/>
    </row>
    <row r="516" ht="15.75" customHeight="1">
      <c r="H516" s="3"/>
    </row>
    <row r="517" ht="15.75" customHeight="1">
      <c r="H517" s="3"/>
    </row>
    <row r="518" ht="15.75" customHeight="1">
      <c r="H518" s="3"/>
    </row>
    <row r="519" ht="15.75" customHeight="1">
      <c r="H519" s="3"/>
    </row>
    <row r="520" ht="15.75" customHeight="1">
      <c r="H520" s="3"/>
    </row>
    <row r="521" ht="15.75" customHeight="1">
      <c r="H521" s="3"/>
    </row>
    <row r="522" ht="15.75" customHeight="1">
      <c r="H522" s="3"/>
    </row>
    <row r="523" ht="15.75" customHeight="1">
      <c r="H523" s="3"/>
    </row>
    <row r="524" ht="15.75" customHeight="1">
      <c r="H524" s="3"/>
    </row>
    <row r="525" ht="15.75" customHeight="1">
      <c r="H525" s="3"/>
    </row>
    <row r="526" ht="15.75" customHeight="1">
      <c r="H526" s="3"/>
    </row>
    <row r="527" ht="15.75" customHeight="1">
      <c r="H527" s="3"/>
    </row>
    <row r="528" ht="15.75" customHeight="1">
      <c r="H528" s="3"/>
    </row>
    <row r="529" ht="15.75" customHeight="1">
      <c r="H529" s="3"/>
    </row>
    <row r="530" ht="15.75" customHeight="1">
      <c r="H530" s="3"/>
    </row>
    <row r="531" ht="15.75" customHeight="1">
      <c r="H531" s="3"/>
    </row>
    <row r="532" ht="15.75" customHeight="1">
      <c r="H532" s="3"/>
    </row>
    <row r="533" ht="15.75" customHeight="1">
      <c r="H533" s="3"/>
    </row>
    <row r="534" ht="15.75" customHeight="1">
      <c r="H534" s="3"/>
    </row>
    <row r="535" ht="15.75" customHeight="1">
      <c r="H535" s="3"/>
    </row>
    <row r="536" ht="15.75" customHeight="1">
      <c r="H536" s="3"/>
    </row>
    <row r="537" ht="15.75" customHeight="1">
      <c r="H537" s="3"/>
    </row>
    <row r="538" ht="15.75" customHeight="1">
      <c r="H538" s="3"/>
    </row>
    <row r="539" ht="15.75" customHeight="1">
      <c r="H539" s="3"/>
    </row>
    <row r="540" ht="15.75" customHeight="1">
      <c r="H540" s="3"/>
    </row>
    <row r="541" ht="15.75" customHeight="1">
      <c r="H541" s="3"/>
    </row>
    <row r="542" ht="15.75" customHeight="1">
      <c r="H542" s="3"/>
    </row>
    <row r="543" ht="15.75" customHeight="1">
      <c r="H543" s="3"/>
    </row>
    <row r="544" ht="15.75" customHeight="1">
      <c r="H544" s="3"/>
    </row>
    <row r="545" ht="15.75" customHeight="1">
      <c r="H545" s="3"/>
    </row>
    <row r="546" ht="15.75" customHeight="1">
      <c r="H546" s="3"/>
    </row>
    <row r="547" ht="15.75" customHeight="1">
      <c r="H547" s="3"/>
    </row>
    <row r="548" ht="15.75" customHeight="1">
      <c r="H548" s="3"/>
    </row>
    <row r="549" ht="15.75" customHeight="1">
      <c r="H549" s="3"/>
    </row>
    <row r="550" ht="15.75" customHeight="1">
      <c r="H550" s="3"/>
    </row>
    <row r="551" ht="15.75" customHeight="1">
      <c r="H551" s="3"/>
    </row>
    <row r="552" ht="15.75" customHeight="1">
      <c r="H552" s="3"/>
    </row>
    <row r="553" ht="15.75" customHeight="1">
      <c r="H553" s="3"/>
    </row>
    <row r="554" ht="15.75" customHeight="1">
      <c r="H554" s="3"/>
    </row>
    <row r="555" ht="15.75" customHeight="1">
      <c r="H555" s="3"/>
    </row>
    <row r="556" ht="15.75" customHeight="1">
      <c r="H556" s="3"/>
    </row>
    <row r="557" ht="15.75" customHeight="1">
      <c r="H557" s="3"/>
    </row>
    <row r="558" ht="15.75" customHeight="1">
      <c r="H558" s="3"/>
    </row>
    <row r="559" ht="15.75" customHeight="1">
      <c r="H559" s="3"/>
    </row>
    <row r="560" ht="15.75" customHeight="1">
      <c r="H560" s="3"/>
    </row>
    <row r="561" ht="15.75" customHeight="1">
      <c r="H561" s="3"/>
    </row>
    <row r="562" ht="15.75" customHeight="1">
      <c r="H562" s="3"/>
    </row>
    <row r="563" ht="15.75" customHeight="1">
      <c r="H563" s="3"/>
    </row>
    <row r="564" ht="15.75" customHeight="1">
      <c r="H564" s="3"/>
    </row>
    <row r="565" ht="15.75" customHeight="1">
      <c r="H565" s="3"/>
    </row>
    <row r="566" ht="15.75" customHeight="1">
      <c r="H566" s="3"/>
    </row>
    <row r="567" ht="15.75" customHeight="1">
      <c r="H567" s="3"/>
    </row>
    <row r="568" ht="15.75" customHeight="1">
      <c r="H568" s="3"/>
    </row>
    <row r="569" ht="15.75" customHeight="1">
      <c r="H569" s="3"/>
    </row>
    <row r="570" ht="15.75" customHeight="1">
      <c r="H570" s="3"/>
    </row>
    <row r="571" ht="15.75" customHeight="1">
      <c r="H571" s="3"/>
    </row>
    <row r="572" ht="15.75" customHeight="1">
      <c r="H572" s="3"/>
    </row>
    <row r="573" ht="15.75" customHeight="1">
      <c r="H573" s="3"/>
    </row>
    <row r="574" ht="15.75" customHeight="1">
      <c r="H574" s="3"/>
    </row>
    <row r="575" ht="15.75" customHeight="1">
      <c r="H575" s="3"/>
    </row>
    <row r="576" ht="15.75" customHeight="1">
      <c r="H576" s="3"/>
    </row>
    <row r="577" ht="15.75" customHeight="1">
      <c r="H577" s="3"/>
    </row>
    <row r="578" ht="15.75" customHeight="1">
      <c r="H578" s="3"/>
    </row>
    <row r="579" ht="15.75" customHeight="1">
      <c r="H579" s="3"/>
    </row>
    <row r="580" ht="15.75" customHeight="1">
      <c r="H580" s="3"/>
    </row>
    <row r="581" ht="15.75" customHeight="1">
      <c r="H581" s="3"/>
    </row>
    <row r="582" ht="15.75" customHeight="1">
      <c r="H582" s="3"/>
    </row>
    <row r="583" ht="15.75" customHeight="1">
      <c r="H583" s="3"/>
    </row>
    <row r="584" ht="15.75" customHeight="1">
      <c r="H584" s="3"/>
    </row>
    <row r="585" ht="15.75" customHeight="1">
      <c r="H585" s="3"/>
    </row>
    <row r="586" ht="15.75" customHeight="1">
      <c r="H586" s="3"/>
    </row>
    <row r="587" ht="15.75" customHeight="1">
      <c r="H587" s="3"/>
    </row>
    <row r="588" ht="15.75" customHeight="1">
      <c r="H588" s="3"/>
    </row>
    <row r="589" ht="15.75" customHeight="1">
      <c r="H589" s="3"/>
    </row>
    <row r="590" ht="15.75" customHeight="1">
      <c r="H590" s="3"/>
    </row>
    <row r="591" ht="15.75" customHeight="1">
      <c r="H591" s="3"/>
    </row>
    <row r="592" ht="15.75" customHeight="1">
      <c r="H592" s="3"/>
    </row>
    <row r="593" ht="15.75" customHeight="1">
      <c r="H593" s="3"/>
    </row>
    <row r="594" ht="15.75" customHeight="1">
      <c r="H594" s="3"/>
    </row>
    <row r="595" ht="15.75" customHeight="1">
      <c r="H595" s="3"/>
    </row>
    <row r="596" ht="15.75" customHeight="1">
      <c r="H596" s="3"/>
    </row>
    <row r="597" ht="15.75" customHeight="1">
      <c r="H597" s="3"/>
    </row>
    <row r="598" ht="15.75" customHeight="1">
      <c r="H598" s="3"/>
    </row>
    <row r="599" ht="15.75" customHeight="1">
      <c r="H599" s="3"/>
    </row>
    <row r="600" ht="15.75" customHeight="1">
      <c r="H600" s="3"/>
    </row>
    <row r="601" ht="15.75" customHeight="1">
      <c r="H601" s="3"/>
    </row>
    <row r="602" ht="15.75" customHeight="1">
      <c r="H602" s="3"/>
    </row>
    <row r="603" ht="15.75" customHeight="1">
      <c r="H603" s="3"/>
    </row>
    <row r="604" ht="15.75" customHeight="1">
      <c r="H604" s="3"/>
    </row>
    <row r="605" ht="15.75" customHeight="1">
      <c r="H605" s="3"/>
    </row>
    <row r="606" ht="15.75" customHeight="1">
      <c r="H606" s="3"/>
    </row>
    <row r="607" ht="15.75" customHeight="1">
      <c r="H607" s="3"/>
    </row>
    <row r="608" ht="15.75" customHeight="1">
      <c r="H608" s="3"/>
    </row>
    <row r="609" ht="15.75" customHeight="1">
      <c r="H609" s="3"/>
    </row>
    <row r="610" ht="15.75" customHeight="1">
      <c r="H610" s="3"/>
    </row>
    <row r="611" ht="15.75" customHeight="1">
      <c r="H611" s="3"/>
    </row>
    <row r="612" ht="15.75" customHeight="1">
      <c r="H612" s="3"/>
    </row>
    <row r="613" ht="15.75" customHeight="1">
      <c r="H613" s="3"/>
    </row>
    <row r="614" ht="15.75" customHeight="1">
      <c r="H614" s="3"/>
    </row>
    <row r="615" ht="15.75" customHeight="1">
      <c r="H615" s="3"/>
    </row>
    <row r="616" ht="15.75" customHeight="1">
      <c r="H616" s="3"/>
    </row>
    <row r="617" ht="15.75" customHeight="1">
      <c r="H617" s="3"/>
    </row>
    <row r="618" ht="15.75" customHeight="1">
      <c r="H618" s="3"/>
    </row>
    <row r="619" ht="15.75" customHeight="1">
      <c r="H619" s="3"/>
    </row>
    <row r="620" ht="15.75" customHeight="1">
      <c r="H620" s="3"/>
    </row>
    <row r="621" ht="15.75" customHeight="1">
      <c r="H621" s="3"/>
    </row>
    <row r="622" ht="15.75" customHeight="1">
      <c r="H622" s="3"/>
    </row>
    <row r="623" ht="15.75" customHeight="1">
      <c r="H623" s="3"/>
    </row>
    <row r="624" ht="15.75" customHeight="1">
      <c r="H624" s="3"/>
    </row>
    <row r="625" ht="15.75" customHeight="1">
      <c r="H625" s="3"/>
    </row>
    <row r="626" ht="15.75" customHeight="1">
      <c r="H626" s="3"/>
    </row>
    <row r="627" ht="15.75" customHeight="1">
      <c r="H627" s="3"/>
    </row>
    <row r="628" ht="15.75" customHeight="1">
      <c r="H628" s="3"/>
    </row>
    <row r="629" ht="15.75" customHeight="1">
      <c r="H629" s="3"/>
    </row>
    <row r="630" ht="15.75" customHeight="1">
      <c r="H630" s="3"/>
    </row>
    <row r="631" ht="15.75" customHeight="1">
      <c r="H631" s="3"/>
    </row>
    <row r="632" ht="15.75" customHeight="1">
      <c r="H632" s="3"/>
    </row>
    <row r="633" ht="15.75" customHeight="1">
      <c r="H633" s="3"/>
    </row>
    <row r="634" ht="15.75" customHeight="1">
      <c r="H634" s="3"/>
    </row>
    <row r="635" ht="15.75" customHeight="1">
      <c r="H635" s="3"/>
    </row>
    <row r="636" ht="15.75" customHeight="1">
      <c r="H636" s="3"/>
    </row>
    <row r="637" ht="15.75" customHeight="1">
      <c r="H637" s="3"/>
    </row>
    <row r="638" ht="15.75" customHeight="1">
      <c r="H638" s="3"/>
    </row>
    <row r="639" ht="15.75" customHeight="1">
      <c r="H639" s="3"/>
    </row>
    <row r="640" ht="15.75" customHeight="1">
      <c r="H640" s="3"/>
    </row>
    <row r="641" ht="15.75" customHeight="1">
      <c r="H641" s="3"/>
    </row>
    <row r="642" ht="15.75" customHeight="1">
      <c r="H642" s="3"/>
    </row>
    <row r="643" ht="15.75" customHeight="1">
      <c r="H643" s="3"/>
    </row>
    <row r="644" ht="15.75" customHeight="1">
      <c r="H644" s="3"/>
    </row>
    <row r="645" ht="15.75" customHeight="1">
      <c r="H645" s="3"/>
    </row>
    <row r="646" ht="15.75" customHeight="1">
      <c r="H646" s="3"/>
    </row>
    <row r="647" ht="15.75" customHeight="1">
      <c r="H647" s="3"/>
    </row>
    <row r="648" ht="15.75" customHeight="1">
      <c r="H648" s="3"/>
    </row>
    <row r="649" ht="15.75" customHeight="1">
      <c r="H649" s="3"/>
    </row>
    <row r="650" ht="15.75" customHeight="1">
      <c r="H650" s="3"/>
    </row>
    <row r="651" ht="15.75" customHeight="1">
      <c r="H651" s="3"/>
    </row>
    <row r="652" ht="15.75" customHeight="1">
      <c r="H652" s="3"/>
    </row>
    <row r="653" ht="15.75" customHeight="1">
      <c r="H653" s="3"/>
    </row>
    <row r="654" ht="15.75" customHeight="1">
      <c r="H654" s="3"/>
    </row>
    <row r="655" ht="15.75" customHeight="1">
      <c r="H655" s="3"/>
    </row>
    <row r="656" ht="15.75" customHeight="1">
      <c r="H656" s="3"/>
    </row>
    <row r="657" ht="15.75" customHeight="1">
      <c r="H657" s="3"/>
    </row>
    <row r="658" ht="15.75" customHeight="1">
      <c r="H658" s="3"/>
    </row>
    <row r="659" ht="15.75" customHeight="1">
      <c r="H659" s="3"/>
    </row>
    <row r="660" ht="15.75" customHeight="1">
      <c r="H660" s="3"/>
    </row>
    <row r="661" ht="15.75" customHeight="1">
      <c r="H661" s="3"/>
    </row>
    <row r="662" ht="15.75" customHeight="1">
      <c r="H662" s="3"/>
    </row>
    <row r="663" ht="15.75" customHeight="1">
      <c r="H663" s="3"/>
    </row>
    <row r="664" ht="15.75" customHeight="1">
      <c r="H664" s="3"/>
    </row>
    <row r="665" ht="15.75" customHeight="1">
      <c r="H665" s="3"/>
    </row>
    <row r="666" ht="15.75" customHeight="1">
      <c r="H666" s="3"/>
    </row>
    <row r="667" ht="15.75" customHeight="1">
      <c r="H667" s="3"/>
    </row>
    <row r="668" ht="15.75" customHeight="1">
      <c r="H668" s="3"/>
    </row>
    <row r="669" ht="15.75" customHeight="1">
      <c r="H669" s="3"/>
    </row>
    <row r="670" ht="15.75" customHeight="1">
      <c r="H670" s="3"/>
    </row>
    <row r="671" ht="15.75" customHeight="1">
      <c r="H671" s="3"/>
    </row>
    <row r="672" ht="15.75" customHeight="1">
      <c r="H672" s="3"/>
    </row>
    <row r="673" ht="15.75" customHeight="1">
      <c r="H673" s="3"/>
    </row>
    <row r="674" ht="15.75" customHeight="1">
      <c r="H674" s="3"/>
    </row>
    <row r="675" ht="15.75" customHeight="1">
      <c r="H675" s="3"/>
    </row>
    <row r="676" ht="15.75" customHeight="1">
      <c r="H676" s="3"/>
    </row>
    <row r="677" ht="15.75" customHeight="1">
      <c r="H677" s="3"/>
    </row>
    <row r="678" ht="15.75" customHeight="1">
      <c r="H678" s="3"/>
    </row>
    <row r="679" ht="15.75" customHeight="1">
      <c r="H679" s="3"/>
    </row>
    <row r="680" ht="15.75" customHeight="1">
      <c r="H680" s="3"/>
    </row>
    <row r="681" ht="15.75" customHeight="1">
      <c r="H681" s="3"/>
    </row>
    <row r="682" ht="15.75" customHeight="1">
      <c r="H682" s="3"/>
    </row>
    <row r="683" ht="15.75" customHeight="1">
      <c r="H683" s="3"/>
    </row>
    <row r="684" ht="15.75" customHeight="1">
      <c r="H684" s="3"/>
    </row>
    <row r="685" ht="15.75" customHeight="1">
      <c r="H685" s="3"/>
    </row>
    <row r="686" ht="15.75" customHeight="1">
      <c r="H686" s="3"/>
    </row>
    <row r="687" ht="15.75" customHeight="1">
      <c r="H687" s="3"/>
    </row>
    <row r="688" ht="15.75" customHeight="1">
      <c r="H688" s="3"/>
    </row>
    <row r="689" ht="15.75" customHeight="1">
      <c r="H689" s="3"/>
    </row>
    <row r="690" ht="15.75" customHeight="1">
      <c r="H690" s="3"/>
    </row>
    <row r="691" ht="15.75" customHeight="1">
      <c r="H691" s="3"/>
    </row>
    <row r="692" ht="15.75" customHeight="1">
      <c r="H692" s="3"/>
    </row>
    <row r="693" ht="15.75" customHeight="1">
      <c r="H693" s="3"/>
    </row>
    <row r="694" ht="15.75" customHeight="1">
      <c r="H694" s="3"/>
    </row>
    <row r="695" ht="15.75" customHeight="1">
      <c r="H695" s="3"/>
    </row>
    <row r="696" ht="15.75" customHeight="1">
      <c r="H696" s="3"/>
    </row>
    <row r="697" ht="15.75" customHeight="1">
      <c r="H697" s="3"/>
    </row>
    <row r="698" ht="15.75" customHeight="1">
      <c r="H698" s="3"/>
    </row>
    <row r="699" ht="15.75" customHeight="1">
      <c r="H699" s="3"/>
    </row>
    <row r="700" ht="15.75" customHeight="1">
      <c r="H700" s="3"/>
    </row>
    <row r="701" ht="15.75" customHeight="1">
      <c r="H701" s="3"/>
    </row>
    <row r="702" ht="15.75" customHeight="1">
      <c r="H702" s="3"/>
    </row>
    <row r="703" ht="15.75" customHeight="1">
      <c r="H703" s="3"/>
    </row>
    <row r="704" ht="15.75" customHeight="1">
      <c r="H704" s="3"/>
    </row>
    <row r="705" ht="15.75" customHeight="1">
      <c r="H705" s="3"/>
    </row>
    <row r="706" ht="15.75" customHeight="1">
      <c r="H706" s="3"/>
    </row>
    <row r="707" ht="15.75" customHeight="1">
      <c r="H707" s="3"/>
    </row>
    <row r="708" ht="15.75" customHeight="1">
      <c r="H708" s="3"/>
    </row>
    <row r="709" ht="15.75" customHeight="1">
      <c r="H709" s="3"/>
    </row>
    <row r="710" ht="15.75" customHeight="1">
      <c r="H710" s="3"/>
    </row>
    <row r="711" ht="15.75" customHeight="1">
      <c r="H711" s="3"/>
    </row>
    <row r="712" ht="15.75" customHeight="1">
      <c r="H712" s="3"/>
    </row>
    <row r="713" ht="15.75" customHeight="1">
      <c r="H713" s="3"/>
    </row>
    <row r="714" ht="15.75" customHeight="1">
      <c r="H714" s="3"/>
    </row>
    <row r="715" ht="15.75" customHeight="1">
      <c r="H715" s="3"/>
    </row>
    <row r="716" ht="15.75" customHeight="1">
      <c r="H716" s="3"/>
    </row>
    <row r="717" ht="15.75" customHeight="1">
      <c r="H717" s="3"/>
    </row>
    <row r="718" ht="15.75" customHeight="1">
      <c r="H718" s="3"/>
    </row>
    <row r="719" ht="15.75" customHeight="1">
      <c r="H719" s="3"/>
    </row>
    <row r="720" ht="15.75" customHeight="1">
      <c r="H720" s="3"/>
    </row>
    <row r="721" ht="15.75" customHeight="1">
      <c r="H721" s="3"/>
    </row>
    <row r="722" ht="15.75" customHeight="1">
      <c r="H722" s="3"/>
    </row>
    <row r="723" ht="15.75" customHeight="1">
      <c r="H723" s="3"/>
    </row>
    <row r="724" ht="15.75" customHeight="1">
      <c r="H724" s="3"/>
    </row>
    <row r="725" ht="15.75" customHeight="1">
      <c r="H725" s="3"/>
    </row>
    <row r="726" ht="15.75" customHeight="1">
      <c r="H726" s="3"/>
    </row>
    <row r="727" ht="15.75" customHeight="1">
      <c r="H727" s="3"/>
    </row>
    <row r="728" ht="15.75" customHeight="1">
      <c r="H728" s="3"/>
    </row>
    <row r="729" ht="15.75" customHeight="1">
      <c r="H729" s="3"/>
    </row>
    <row r="730" ht="15.75" customHeight="1">
      <c r="H730" s="3"/>
    </row>
    <row r="731" ht="15.75" customHeight="1">
      <c r="H731" s="3"/>
    </row>
    <row r="732" ht="15.75" customHeight="1">
      <c r="H732" s="3"/>
    </row>
    <row r="733" ht="15.75" customHeight="1">
      <c r="H733" s="3"/>
    </row>
    <row r="734" ht="15.75" customHeight="1">
      <c r="H734" s="3"/>
    </row>
    <row r="735" ht="15.75" customHeight="1">
      <c r="H735" s="3"/>
    </row>
    <row r="736" ht="15.75" customHeight="1">
      <c r="H736" s="3"/>
    </row>
    <row r="737" ht="15.75" customHeight="1">
      <c r="H737" s="3"/>
    </row>
    <row r="738" ht="15.75" customHeight="1">
      <c r="H738" s="3"/>
    </row>
    <row r="739" ht="15.75" customHeight="1">
      <c r="H739" s="3"/>
    </row>
    <row r="740" ht="15.75" customHeight="1">
      <c r="H740" s="3"/>
    </row>
    <row r="741" ht="15.75" customHeight="1">
      <c r="H741" s="3"/>
    </row>
    <row r="742" ht="15.75" customHeight="1">
      <c r="H742" s="3"/>
    </row>
    <row r="743" ht="15.75" customHeight="1">
      <c r="H743" s="3"/>
    </row>
    <row r="744" ht="15.75" customHeight="1">
      <c r="H744" s="3"/>
    </row>
    <row r="745" ht="15.75" customHeight="1">
      <c r="H745" s="3"/>
    </row>
    <row r="746" ht="15.75" customHeight="1">
      <c r="H746" s="3"/>
    </row>
    <row r="747" ht="15.75" customHeight="1">
      <c r="H747" s="3"/>
    </row>
    <row r="748" ht="15.75" customHeight="1">
      <c r="H748" s="3"/>
    </row>
    <row r="749" ht="15.75" customHeight="1">
      <c r="H749" s="3"/>
    </row>
    <row r="750" ht="15.75" customHeight="1">
      <c r="H750" s="3"/>
    </row>
    <row r="751" ht="15.75" customHeight="1">
      <c r="H751" s="3"/>
    </row>
    <row r="752" ht="15.75" customHeight="1">
      <c r="H752" s="3"/>
    </row>
    <row r="753" ht="15.75" customHeight="1">
      <c r="H753" s="3"/>
    </row>
    <row r="754" ht="15.75" customHeight="1">
      <c r="H754" s="3"/>
    </row>
    <row r="755" ht="15.75" customHeight="1">
      <c r="H755" s="3"/>
    </row>
    <row r="756" ht="15.75" customHeight="1">
      <c r="H756" s="3"/>
    </row>
    <row r="757" ht="15.75" customHeight="1">
      <c r="H757" s="3"/>
    </row>
    <row r="758" ht="15.75" customHeight="1">
      <c r="H758" s="3"/>
    </row>
    <row r="759" ht="15.75" customHeight="1">
      <c r="H759" s="3"/>
    </row>
    <row r="760" ht="15.75" customHeight="1">
      <c r="H760" s="3"/>
    </row>
    <row r="761" ht="15.75" customHeight="1">
      <c r="H761" s="3"/>
    </row>
    <row r="762" ht="15.75" customHeight="1">
      <c r="H762" s="3"/>
    </row>
    <row r="763" ht="15.75" customHeight="1">
      <c r="H763" s="3"/>
    </row>
    <row r="764" ht="15.75" customHeight="1">
      <c r="H764" s="3"/>
    </row>
    <row r="765" ht="15.75" customHeight="1">
      <c r="H765" s="3"/>
    </row>
    <row r="766" ht="15.75" customHeight="1">
      <c r="H766" s="3"/>
    </row>
    <row r="767" ht="15.75" customHeight="1">
      <c r="H767" s="3"/>
    </row>
    <row r="768" ht="15.75" customHeight="1">
      <c r="H768" s="3"/>
    </row>
    <row r="769" ht="15.75" customHeight="1">
      <c r="H769" s="3"/>
    </row>
    <row r="770" ht="15.75" customHeight="1">
      <c r="H770" s="3"/>
    </row>
    <row r="771" ht="15.75" customHeight="1">
      <c r="H771" s="3"/>
    </row>
    <row r="772" ht="15.75" customHeight="1">
      <c r="H772" s="3"/>
    </row>
    <row r="773" ht="15.75" customHeight="1">
      <c r="H773" s="3"/>
    </row>
    <row r="774" ht="15.75" customHeight="1">
      <c r="H774" s="3"/>
    </row>
    <row r="775" ht="15.75" customHeight="1">
      <c r="H775" s="3"/>
    </row>
    <row r="776" ht="15.75" customHeight="1">
      <c r="H776" s="3"/>
    </row>
    <row r="777" ht="15.75" customHeight="1">
      <c r="H777" s="3"/>
    </row>
    <row r="778" ht="15.75" customHeight="1">
      <c r="H778" s="3"/>
    </row>
    <row r="779" ht="15.75" customHeight="1">
      <c r="H779" s="3"/>
    </row>
    <row r="780" ht="15.75" customHeight="1">
      <c r="H780" s="3"/>
    </row>
    <row r="781" ht="15.75" customHeight="1">
      <c r="H781" s="3"/>
    </row>
    <row r="782" ht="15.75" customHeight="1">
      <c r="H782" s="3"/>
    </row>
    <row r="783" ht="15.75" customHeight="1">
      <c r="H783" s="3"/>
    </row>
    <row r="784" ht="15.75" customHeight="1">
      <c r="H784" s="3"/>
    </row>
    <row r="785" ht="15.75" customHeight="1">
      <c r="H785" s="3"/>
    </row>
    <row r="786" ht="15.75" customHeight="1">
      <c r="H786" s="3"/>
    </row>
    <row r="787" ht="15.75" customHeight="1">
      <c r="H787" s="3"/>
    </row>
    <row r="788" ht="15.75" customHeight="1">
      <c r="H788" s="3"/>
    </row>
    <row r="789" ht="15.75" customHeight="1">
      <c r="H789" s="3"/>
    </row>
    <row r="790" ht="15.75" customHeight="1">
      <c r="H790" s="3"/>
    </row>
    <row r="791" ht="15.75" customHeight="1">
      <c r="H791" s="3"/>
    </row>
    <row r="792" ht="15.75" customHeight="1">
      <c r="H792" s="3"/>
    </row>
    <row r="793" ht="15.75" customHeight="1">
      <c r="H793" s="3"/>
    </row>
    <row r="794" ht="15.75" customHeight="1">
      <c r="H794" s="3"/>
    </row>
    <row r="795" ht="15.75" customHeight="1">
      <c r="H795" s="3"/>
    </row>
    <row r="796" ht="15.75" customHeight="1">
      <c r="H796" s="3"/>
    </row>
    <row r="797" ht="15.75" customHeight="1">
      <c r="H797" s="3"/>
    </row>
    <row r="798" ht="15.75" customHeight="1">
      <c r="H798" s="3"/>
    </row>
    <row r="799" ht="15.75" customHeight="1">
      <c r="H799" s="3"/>
    </row>
    <row r="800" ht="15.75" customHeight="1">
      <c r="H800" s="3"/>
    </row>
    <row r="801" ht="15.75" customHeight="1">
      <c r="H801" s="3"/>
    </row>
    <row r="802" ht="15.75" customHeight="1">
      <c r="H802" s="3"/>
    </row>
    <row r="803" ht="15.75" customHeight="1">
      <c r="H803" s="3"/>
    </row>
    <row r="804" ht="15.75" customHeight="1">
      <c r="H804" s="3"/>
    </row>
    <row r="805" ht="15.75" customHeight="1">
      <c r="H805" s="3"/>
    </row>
    <row r="806" ht="15.75" customHeight="1">
      <c r="H806" s="3"/>
    </row>
    <row r="807" ht="15.75" customHeight="1">
      <c r="H807" s="3"/>
    </row>
    <row r="808" ht="15.75" customHeight="1">
      <c r="H808" s="3"/>
    </row>
    <row r="809" ht="15.75" customHeight="1">
      <c r="H809" s="3"/>
    </row>
    <row r="810" ht="15.75" customHeight="1">
      <c r="H810" s="3"/>
    </row>
    <row r="811" ht="15.75" customHeight="1">
      <c r="H811" s="3"/>
    </row>
    <row r="812" ht="15.75" customHeight="1">
      <c r="H812" s="3"/>
    </row>
    <row r="813" ht="15.75" customHeight="1">
      <c r="H813" s="3"/>
    </row>
    <row r="814" ht="15.75" customHeight="1">
      <c r="H814" s="3"/>
    </row>
    <row r="815" ht="15.75" customHeight="1">
      <c r="H815" s="3"/>
    </row>
    <row r="816" ht="15.75" customHeight="1">
      <c r="H816" s="3"/>
    </row>
    <row r="817" ht="15.75" customHeight="1">
      <c r="H817" s="3"/>
    </row>
    <row r="818" ht="15.75" customHeight="1">
      <c r="H818" s="3"/>
    </row>
    <row r="819" ht="15.75" customHeight="1">
      <c r="H819" s="3"/>
    </row>
    <row r="820" ht="15.75" customHeight="1">
      <c r="H820" s="3"/>
    </row>
    <row r="821" ht="15.75" customHeight="1">
      <c r="H821" s="3"/>
    </row>
    <row r="822" ht="15.75" customHeight="1">
      <c r="H822" s="3"/>
    </row>
    <row r="823" ht="15.75" customHeight="1">
      <c r="H823" s="3"/>
    </row>
    <row r="824" ht="15.75" customHeight="1">
      <c r="H824" s="3"/>
    </row>
    <row r="825" ht="15.75" customHeight="1">
      <c r="H825" s="3"/>
    </row>
    <row r="826" ht="15.75" customHeight="1">
      <c r="H826" s="3"/>
    </row>
    <row r="827" ht="15.75" customHeight="1">
      <c r="H827" s="3"/>
    </row>
    <row r="828" ht="15.75" customHeight="1">
      <c r="H828" s="3"/>
    </row>
    <row r="829" ht="15.75" customHeight="1">
      <c r="H829" s="3"/>
    </row>
    <row r="830" ht="15.75" customHeight="1">
      <c r="H830" s="3"/>
    </row>
    <row r="831" ht="15.75" customHeight="1">
      <c r="H831" s="3"/>
    </row>
    <row r="832" ht="15.75" customHeight="1">
      <c r="H832" s="3"/>
    </row>
    <row r="833" ht="15.75" customHeight="1">
      <c r="H833" s="3"/>
    </row>
    <row r="834" ht="15.75" customHeight="1">
      <c r="H834" s="3"/>
    </row>
    <row r="835" ht="15.75" customHeight="1">
      <c r="H835" s="3"/>
    </row>
    <row r="836" ht="15.75" customHeight="1">
      <c r="H836" s="3"/>
    </row>
    <row r="837" ht="15.75" customHeight="1">
      <c r="H837" s="3"/>
    </row>
    <row r="838" ht="15.75" customHeight="1">
      <c r="H838" s="3"/>
    </row>
    <row r="839" ht="15.75" customHeight="1">
      <c r="H839" s="3"/>
    </row>
    <row r="840" ht="15.75" customHeight="1">
      <c r="H840" s="3"/>
    </row>
    <row r="841" ht="15.75" customHeight="1">
      <c r="H841" s="3"/>
    </row>
    <row r="842" ht="15.75" customHeight="1">
      <c r="H842" s="3"/>
    </row>
    <row r="843" ht="15.75" customHeight="1">
      <c r="H843" s="3"/>
    </row>
    <row r="844" ht="15.75" customHeight="1">
      <c r="H844" s="3"/>
    </row>
    <row r="845" ht="15.75" customHeight="1">
      <c r="H845" s="3"/>
    </row>
    <row r="846" ht="15.75" customHeight="1">
      <c r="H846" s="3"/>
    </row>
    <row r="847" ht="15.75" customHeight="1">
      <c r="H847" s="3"/>
    </row>
    <row r="848" ht="15.75" customHeight="1">
      <c r="H848" s="3"/>
    </row>
    <row r="849" ht="15.75" customHeight="1">
      <c r="H849" s="3"/>
    </row>
    <row r="850" ht="15.75" customHeight="1">
      <c r="H850" s="3"/>
    </row>
    <row r="851" ht="15.75" customHeight="1">
      <c r="H851" s="3"/>
    </row>
    <row r="852" ht="15.75" customHeight="1">
      <c r="H852" s="3"/>
    </row>
    <row r="853" ht="15.75" customHeight="1">
      <c r="H853" s="3"/>
    </row>
    <row r="854" ht="15.75" customHeight="1">
      <c r="H854" s="3"/>
    </row>
    <row r="855" ht="15.75" customHeight="1">
      <c r="H855" s="3"/>
    </row>
    <row r="856" ht="15.75" customHeight="1">
      <c r="H856" s="3"/>
    </row>
    <row r="857" ht="15.75" customHeight="1">
      <c r="H857" s="3"/>
    </row>
    <row r="858" ht="15.75" customHeight="1">
      <c r="H858" s="3"/>
    </row>
    <row r="859" ht="15.75" customHeight="1">
      <c r="H859" s="3"/>
    </row>
    <row r="860" ht="15.75" customHeight="1">
      <c r="H860" s="3"/>
    </row>
    <row r="861" ht="15.75" customHeight="1">
      <c r="H861" s="3"/>
    </row>
    <row r="862" ht="15.75" customHeight="1">
      <c r="H862" s="3"/>
    </row>
    <row r="863" ht="15.75" customHeight="1">
      <c r="H863" s="3"/>
    </row>
    <row r="864" ht="15.75" customHeight="1">
      <c r="H864" s="3"/>
    </row>
    <row r="865" ht="15.75" customHeight="1">
      <c r="H865" s="3"/>
    </row>
    <row r="866" ht="15.75" customHeight="1">
      <c r="H866" s="3"/>
    </row>
    <row r="867" ht="15.75" customHeight="1">
      <c r="H867" s="3"/>
    </row>
    <row r="868" ht="15.75" customHeight="1">
      <c r="H868" s="3"/>
    </row>
    <row r="869" ht="15.75" customHeight="1">
      <c r="H869" s="3"/>
    </row>
    <row r="870" ht="15.75" customHeight="1">
      <c r="H870" s="3"/>
    </row>
    <row r="871" ht="15.75" customHeight="1">
      <c r="H871" s="3"/>
    </row>
    <row r="872" ht="15.75" customHeight="1">
      <c r="H872" s="3"/>
    </row>
    <row r="873" ht="15.75" customHeight="1">
      <c r="H873" s="3"/>
    </row>
    <row r="874" ht="15.75" customHeight="1">
      <c r="H874" s="3"/>
    </row>
    <row r="875" ht="15.75" customHeight="1">
      <c r="H875" s="3"/>
    </row>
    <row r="876" ht="15.75" customHeight="1">
      <c r="H876" s="3"/>
    </row>
    <row r="877" ht="15.75" customHeight="1">
      <c r="H877" s="3"/>
    </row>
    <row r="878" ht="15.75" customHeight="1">
      <c r="H878" s="3"/>
    </row>
    <row r="879" ht="15.75" customHeight="1">
      <c r="H879" s="3"/>
    </row>
    <row r="880" ht="15.75" customHeight="1">
      <c r="H880" s="3"/>
    </row>
    <row r="881" ht="15.75" customHeight="1">
      <c r="H881" s="3"/>
    </row>
    <row r="882" ht="15.75" customHeight="1">
      <c r="H882" s="3"/>
    </row>
    <row r="883" ht="15.75" customHeight="1">
      <c r="H883" s="3"/>
    </row>
    <row r="884" ht="15.75" customHeight="1">
      <c r="H884" s="3"/>
    </row>
    <row r="885" ht="15.75" customHeight="1">
      <c r="H885" s="3"/>
    </row>
    <row r="886" ht="15.75" customHeight="1">
      <c r="H886" s="3"/>
    </row>
    <row r="887" ht="15.75" customHeight="1">
      <c r="H887" s="3"/>
    </row>
    <row r="888" ht="15.75" customHeight="1">
      <c r="H888" s="3"/>
    </row>
    <row r="889" ht="15.75" customHeight="1">
      <c r="H889" s="3"/>
    </row>
    <row r="890" ht="15.75" customHeight="1">
      <c r="H890" s="3"/>
    </row>
    <row r="891" ht="15.75" customHeight="1">
      <c r="H891" s="3"/>
    </row>
    <row r="892" ht="15.75" customHeight="1">
      <c r="H892" s="3"/>
    </row>
    <row r="893" ht="15.75" customHeight="1">
      <c r="H893" s="3"/>
    </row>
    <row r="894" ht="15.75" customHeight="1">
      <c r="H894" s="3"/>
    </row>
    <row r="895" ht="15.75" customHeight="1">
      <c r="H895" s="3"/>
    </row>
    <row r="896" ht="15.75" customHeight="1">
      <c r="H896" s="3"/>
    </row>
    <row r="897" ht="15.75" customHeight="1">
      <c r="H897" s="3"/>
    </row>
    <row r="898" ht="15.75" customHeight="1">
      <c r="H898" s="3"/>
    </row>
    <row r="899" ht="15.75" customHeight="1">
      <c r="H899" s="3"/>
    </row>
    <row r="900" ht="15.75" customHeight="1">
      <c r="H900" s="3"/>
    </row>
    <row r="901" ht="15.75" customHeight="1">
      <c r="H901" s="3"/>
    </row>
    <row r="902" ht="15.75" customHeight="1">
      <c r="H902" s="3"/>
    </row>
    <row r="903" ht="15.75" customHeight="1">
      <c r="H903" s="3"/>
    </row>
    <row r="904" ht="15.75" customHeight="1">
      <c r="H904" s="3"/>
    </row>
    <row r="905" ht="15.75" customHeight="1">
      <c r="H905" s="3"/>
    </row>
    <row r="906" ht="15.75" customHeight="1">
      <c r="H906" s="3"/>
    </row>
    <row r="907" ht="15.75" customHeight="1">
      <c r="H907" s="3"/>
    </row>
    <row r="908" ht="15.75" customHeight="1">
      <c r="H908" s="3"/>
    </row>
    <row r="909" ht="15.75" customHeight="1">
      <c r="H909" s="3"/>
    </row>
    <row r="910" ht="15.75" customHeight="1">
      <c r="H910" s="3"/>
    </row>
    <row r="911" ht="15.75" customHeight="1">
      <c r="H911" s="3"/>
    </row>
    <row r="912" ht="15.75" customHeight="1">
      <c r="H912" s="3"/>
    </row>
    <row r="913" ht="15.75" customHeight="1">
      <c r="H913" s="3"/>
    </row>
    <row r="914" ht="15.75" customHeight="1">
      <c r="H914" s="3"/>
    </row>
    <row r="915" ht="15.75" customHeight="1">
      <c r="H915" s="3"/>
    </row>
    <row r="916" ht="15.75" customHeight="1">
      <c r="H916" s="3"/>
    </row>
    <row r="917" ht="15.75" customHeight="1">
      <c r="H917" s="3"/>
    </row>
    <row r="918" ht="15.75" customHeight="1">
      <c r="H918" s="3"/>
    </row>
    <row r="919" ht="15.75" customHeight="1">
      <c r="H919" s="3"/>
    </row>
    <row r="920" ht="15.75" customHeight="1">
      <c r="H920" s="3"/>
    </row>
    <row r="921" ht="15.75" customHeight="1">
      <c r="H921" s="3"/>
    </row>
    <row r="922" ht="15.75" customHeight="1">
      <c r="H922" s="3"/>
    </row>
    <row r="923" ht="15.75" customHeight="1">
      <c r="H923" s="3"/>
    </row>
    <row r="924" ht="15.75" customHeight="1">
      <c r="H924" s="3"/>
    </row>
    <row r="925" ht="15.75" customHeight="1">
      <c r="H925" s="3"/>
    </row>
    <row r="926" ht="15.75" customHeight="1">
      <c r="H926" s="3"/>
    </row>
    <row r="927" ht="15.75" customHeight="1">
      <c r="H927" s="3"/>
    </row>
    <row r="928" ht="15.75" customHeight="1">
      <c r="H928" s="3"/>
    </row>
    <row r="929" ht="15.75" customHeight="1">
      <c r="H929" s="3"/>
    </row>
    <row r="930" ht="15.75" customHeight="1">
      <c r="H930" s="3"/>
    </row>
    <row r="931" ht="15.75" customHeight="1">
      <c r="H931" s="3"/>
    </row>
    <row r="932" ht="15.75" customHeight="1">
      <c r="H932" s="3"/>
    </row>
    <row r="933" ht="15.75" customHeight="1">
      <c r="H933" s="3"/>
    </row>
    <row r="934" ht="15.75" customHeight="1">
      <c r="H934" s="3"/>
    </row>
    <row r="935" ht="15.75" customHeight="1">
      <c r="H935" s="3"/>
    </row>
    <row r="936" ht="15.75" customHeight="1">
      <c r="H936" s="3"/>
    </row>
    <row r="937" ht="15.75" customHeight="1">
      <c r="H937" s="3"/>
    </row>
    <row r="938" ht="15.75" customHeight="1">
      <c r="H938" s="3"/>
    </row>
    <row r="939" ht="15.75" customHeight="1">
      <c r="H939" s="3"/>
    </row>
    <row r="940" ht="15.75" customHeight="1">
      <c r="H940" s="3"/>
    </row>
    <row r="941" ht="15.75" customHeight="1">
      <c r="H941" s="3"/>
    </row>
    <row r="942" ht="15.75" customHeight="1">
      <c r="H942" s="3"/>
    </row>
    <row r="943" ht="15.75" customHeight="1">
      <c r="H943" s="3"/>
    </row>
    <row r="944" ht="15.75" customHeight="1">
      <c r="H944" s="3"/>
    </row>
    <row r="945" ht="15.75" customHeight="1">
      <c r="H945" s="3"/>
    </row>
    <row r="946" ht="15.75" customHeight="1">
      <c r="H946" s="3"/>
    </row>
    <row r="947" ht="15.75" customHeight="1">
      <c r="H947" s="3"/>
    </row>
    <row r="948" ht="15.75" customHeight="1">
      <c r="H948" s="3"/>
    </row>
    <row r="949" ht="15.75" customHeight="1">
      <c r="H949" s="3"/>
    </row>
    <row r="950" ht="15.75" customHeight="1">
      <c r="H950" s="3"/>
    </row>
    <row r="951" ht="15.75" customHeight="1">
      <c r="H951" s="3"/>
    </row>
    <row r="952" ht="15.75" customHeight="1">
      <c r="H952" s="3"/>
    </row>
    <row r="953" ht="15.75" customHeight="1">
      <c r="H953" s="3"/>
    </row>
    <row r="954" ht="15.75" customHeight="1">
      <c r="H954" s="3"/>
    </row>
    <row r="955" ht="15.75" customHeight="1">
      <c r="H955" s="3"/>
    </row>
    <row r="956" ht="15.75" customHeight="1">
      <c r="H956" s="3"/>
    </row>
    <row r="957" ht="15.75" customHeight="1">
      <c r="H957" s="3"/>
    </row>
    <row r="958" ht="15.75" customHeight="1">
      <c r="H958" s="3"/>
    </row>
    <row r="959" ht="15.75" customHeight="1">
      <c r="H959" s="3"/>
    </row>
    <row r="960" ht="15.75" customHeight="1">
      <c r="H960" s="3"/>
    </row>
    <row r="961" ht="15.75" customHeight="1">
      <c r="H961" s="3"/>
    </row>
    <row r="962" ht="15.75" customHeight="1">
      <c r="H962" s="3"/>
    </row>
    <row r="963" ht="15.75" customHeight="1">
      <c r="H963" s="3"/>
    </row>
    <row r="964" ht="15.75" customHeight="1">
      <c r="H964" s="3"/>
    </row>
    <row r="965" ht="15.75" customHeight="1">
      <c r="H965" s="3"/>
    </row>
    <row r="966" ht="15.75" customHeight="1">
      <c r="H966" s="3"/>
    </row>
    <row r="967" ht="15.75" customHeight="1">
      <c r="H967" s="3"/>
    </row>
    <row r="968" ht="15.75" customHeight="1">
      <c r="H968" s="3"/>
    </row>
    <row r="969" ht="15.75" customHeight="1">
      <c r="H969" s="3"/>
    </row>
    <row r="970" ht="15.75" customHeight="1">
      <c r="H970" s="3"/>
    </row>
    <row r="971" ht="15.75" customHeight="1">
      <c r="H971" s="3"/>
    </row>
    <row r="972" ht="15.75" customHeight="1">
      <c r="H972" s="3"/>
    </row>
    <row r="973" ht="15.75" customHeight="1">
      <c r="H973" s="3"/>
    </row>
    <row r="974" ht="15.75" customHeight="1">
      <c r="H974" s="3"/>
    </row>
    <row r="975" ht="15.75" customHeight="1">
      <c r="H975" s="3"/>
    </row>
    <row r="976" ht="15.75" customHeight="1">
      <c r="H976" s="3"/>
    </row>
    <row r="977" ht="15.75" customHeight="1">
      <c r="H977" s="3"/>
    </row>
    <row r="978" ht="15.75" customHeight="1">
      <c r="H978" s="3"/>
    </row>
    <row r="979" ht="15.75" customHeight="1">
      <c r="H979" s="3"/>
    </row>
    <row r="980" ht="15.75" customHeight="1">
      <c r="H980" s="3"/>
    </row>
    <row r="981" ht="15.75" customHeight="1">
      <c r="H981" s="3"/>
    </row>
    <row r="982" ht="15.75" customHeight="1">
      <c r="H982" s="3"/>
    </row>
    <row r="983" ht="15.75" customHeight="1">
      <c r="H983" s="3"/>
    </row>
    <row r="984" ht="15.75" customHeight="1">
      <c r="H984" s="3"/>
    </row>
    <row r="985" ht="15.75" customHeight="1">
      <c r="H985" s="3"/>
    </row>
    <row r="986" ht="15.75" customHeight="1">
      <c r="H986" s="3"/>
    </row>
    <row r="987" ht="15.75" customHeight="1">
      <c r="H987" s="3"/>
    </row>
    <row r="988" ht="15.75" customHeight="1">
      <c r="H988" s="3"/>
    </row>
    <row r="989" ht="15.75" customHeight="1">
      <c r="H989" s="3"/>
    </row>
    <row r="990" ht="15.75" customHeight="1">
      <c r="H990" s="3"/>
    </row>
    <row r="991" ht="15.75" customHeight="1">
      <c r="H991" s="3"/>
    </row>
    <row r="992" ht="15.75" customHeight="1">
      <c r="H992" s="3"/>
    </row>
    <row r="993" ht="15.75" customHeight="1">
      <c r="H993" s="3"/>
    </row>
    <row r="994" ht="15.75" customHeight="1">
      <c r="H994" s="3"/>
    </row>
    <row r="995" ht="15.75" customHeight="1">
      <c r="H995" s="3"/>
    </row>
    <row r="996" ht="15.75" customHeight="1">
      <c r="H996" s="3"/>
    </row>
    <row r="997" ht="15.75" customHeight="1">
      <c r="H997" s="3"/>
    </row>
    <row r="998" ht="15.75" customHeight="1">
      <c r="H998" s="3"/>
    </row>
    <row r="999" ht="15.75" customHeight="1">
      <c r="H999" s="3"/>
    </row>
    <row r="1000" ht="15.75" customHeight="1">
      <c r="H1000" s="3"/>
    </row>
  </sheetData>
  <autoFilter ref="$A$1:$C$43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10.75"/>
    <col customWidth="1" hidden="1" min="3" max="4" width="7.75"/>
    <col customWidth="1" min="5" max="5" width="26.25"/>
    <col customWidth="1" min="6" max="6" width="15.75"/>
    <col customWidth="1" hidden="1" min="7" max="7" width="9.63"/>
    <col customWidth="1" min="8" max="8" width="12.63"/>
    <col customWidth="1" min="9" max="9" width="45.88"/>
    <col customWidth="1" min="10" max="10" width="26.25"/>
    <col customWidth="1" min="11" max="11" width="26.0"/>
    <col customWidth="1" min="12" max="12" width="17.88"/>
    <col customWidth="1" min="13" max="13" width="10.75"/>
    <col customWidth="1" min="14" max="26" width="26.25"/>
  </cols>
  <sheetData>
    <row r="1">
      <c r="A1" s="4" t="s">
        <v>22</v>
      </c>
      <c r="B1" s="15" t="s">
        <v>23</v>
      </c>
      <c r="C1" s="15" t="s">
        <v>24</v>
      </c>
      <c r="D1" s="15"/>
      <c r="E1" s="15" t="s">
        <v>25</v>
      </c>
      <c r="F1" s="15" t="s">
        <v>26</v>
      </c>
      <c r="G1" s="15" t="s">
        <v>27</v>
      </c>
      <c r="H1" s="16" t="s">
        <v>6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  <c r="N1" s="15" t="s">
        <v>33</v>
      </c>
      <c r="O1" s="15" t="s">
        <v>34</v>
      </c>
      <c r="P1" s="15" t="s">
        <v>35</v>
      </c>
    </row>
    <row r="2" ht="60.0" customHeight="1">
      <c r="A2" s="4" t="s">
        <v>36</v>
      </c>
      <c r="B2" s="20" t="s">
        <v>91</v>
      </c>
      <c r="C2" s="20" t="s">
        <v>55</v>
      </c>
      <c r="D2" s="20"/>
      <c r="E2" s="20" t="s">
        <v>92</v>
      </c>
      <c r="F2" s="20" t="s">
        <v>93</v>
      </c>
      <c r="G2" s="20" t="s">
        <v>94</v>
      </c>
      <c r="H2" s="21">
        <v>7.4</v>
      </c>
      <c r="I2" s="20" t="s">
        <v>95</v>
      </c>
      <c r="J2" s="20" t="s">
        <v>92</v>
      </c>
      <c r="K2" s="20" t="s">
        <v>96</v>
      </c>
      <c r="L2" s="20" t="s">
        <v>97</v>
      </c>
      <c r="M2" s="20" t="s">
        <v>98</v>
      </c>
      <c r="N2" s="20" t="s">
        <v>45</v>
      </c>
      <c r="O2" s="20" t="s">
        <v>99</v>
      </c>
      <c r="P2" s="20" t="s">
        <v>64</v>
      </c>
    </row>
    <row r="3" ht="60.0" customHeight="1">
      <c r="A3" s="4" t="s">
        <v>36</v>
      </c>
      <c r="B3" s="20" t="s">
        <v>123</v>
      </c>
      <c r="C3" s="20" t="s">
        <v>55</v>
      </c>
      <c r="D3" s="20"/>
      <c r="E3" s="20" t="s">
        <v>92</v>
      </c>
      <c r="F3" s="20" t="s">
        <v>93</v>
      </c>
      <c r="G3" s="20" t="s">
        <v>94</v>
      </c>
      <c r="H3" s="21">
        <v>10.49</v>
      </c>
      <c r="I3" s="20" t="s">
        <v>124</v>
      </c>
      <c r="J3" s="20" t="s">
        <v>92</v>
      </c>
      <c r="K3" s="20" t="s">
        <v>96</v>
      </c>
      <c r="L3" s="20" t="s">
        <v>97</v>
      </c>
      <c r="M3" s="20" t="s">
        <v>98</v>
      </c>
      <c r="N3" s="20" t="s">
        <v>45</v>
      </c>
      <c r="O3" s="20" t="s">
        <v>125</v>
      </c>
      <c r="P3" s="20" t="s">
        <v>64</v>
      </c>
    </row>
    <row r="4" ht="60.0" customHeight="1">
      <c r="A4" s="4" t="s">
        <v>36</v>
      </c>
      <c r="B4" s="20" t="s">
        <v>131</v>
      </c>
      <c r="C4" s="20" t="s">
        <v>55</v>
      </c>
      <c r="D4" s="20"/>
      <c r="E4" s="20" t="s">
        <v>56</v>
      </c>
      <c r="F4" s="20" t="s">
        <v>93</v>
      </c>
      <c r="G4" s="20" t="s">
        <v>94</v>
      </c>
      <c r="H4" s="21">
        <v>21.05</v>
      </c>
      <c r="I4" s="20" t="s">
        <v>161</v>
      </c>
      <c r="J4" s="20" t="s">
        <v>56</v>
      </c>
      <c r="K4" s="20" t="s">
        <v>60</v>
      </c>
      <c r="L4" s="20" t="s">
        <v>61</v>
      </c>
      <c r="M4" s="20" t="s">
        <v>62</v>
      </c>
      <c r="N4" s="20" t="s">
        <v>45</v>
      </c>
      <c r="O4" s="20" t="s">
        <v>162</v>
      </c>
      <c r="P4" s="20" t="s">
        <v>64</v>
      </c>
    </row>
    <row r="5" ht="60.0" customHeight="1">
      <c r="A5" s="4" t="s">
        <v>168</v>
      </c>
      <c r="B5" s="20" t="s">
        <v>54</v>
      </c>
      <c r="C5" s="20" t="s">
        <v>55</v>
      </c>
      <c r="D5" s="20"/>
      <c r="E5" s="20" t="s">
        <v>177</v>
      </c>
      <c r="F5" s="20" t="s">
        <v>93</v>
      </c>
      <c r="G5" s="20" t="s">
        <v>94</v>
      </c>
      <c r="H5" s="21">
        <v>27.4</v>
      </c>
      <c r="I5" s="20" t="s">
        <v>178</v>
      </c>
      <c r="J5" s="20" t="s">
        <v>177</v>
      </c>
      <c r="K5" s="20" t="s">
        <v>179</v>
      </c>
      <c r="L5" s="20" t="s">
        <v>142</v>
      </c>
      <c r="M5" s="20" t="s">
        <v>180</v>
      </c>
      <c r="N5" s="20" t="s">
        <v>45</v>
      </c>
      <c r="O5" s="20" t="s">
        <v>181</v>
      </c>
      <c r="P5" s="20" t="s">
        <v>182</v>
      </c>
    </row>
    <row r="6" ht="60.0" customHeight="1">
      <c r="A6" s="4" t="s">
        <v>168</v>
      </c>
      <c r="B6" s="20" t="s">
        <v>147</v>
      </c>
      <c r="C6" s="20" t="s">
        <v>55</v>
      </c>
      <c r="D6" s="20"/>
      <c r="E6" s="20" t="s">
        <v>203</v>
      </c>
      <c r="F6" s="20" t="s">
        <v>93</v>
      </c>
      <c r="G6" s="20" t="s">
        <v>94</v>
      </c>
      <c r="H6" s="21">
        <v>39.0</v>
      </c>
      <c r="I6" s="20" t="s">
        <v>204</v>
      </c>
      <c r="J6" s="20" t="s">
        <v>203</v>
      </c>
      <c r="K6" s="20" t="s">
        <v>55</v>
      </c>
      <c r="L6" s="20" t="s">
        <v>55</v>
      </c>
      <c r="M6" s="20" t="s">
        <v>55</v>
      </c>
      <c r="N6" s="20" t="s">
        <v>55</v>
      </c>
      <c r="O6" s="20" t="s">
        <v>205</v>
      </c>
      <c r="P6" s="20" t="s">
        <v>206</v>
      </c>
    </row>
    <row r="7" ht="60.0" customHeight="1">
      <c r="A7" s="4" t="s">
        <v>36</v>
      </c>
      <c r="B7" s="17" t="s">
        <v>108</v>
      </c>
      <c r="C7" s="17" t="s">
        <v>55</v>
      </c>
      <c r="D7" s="17"/>
      <c r="E7" s="17" t="s">
        <v>157</v>
      </c>
      <c r="F7" s="17" t="s">
        <v>93</v>
      </c>
      <c r="G7" s="17" t="s">
        <v>94</v>
      </c>
      <c r="H7" s="18">
        <v>71.95</v>
      </c>
      <c r="I7" s="17" t="s">
        <v>255</v>
      </c>
      <c r="J7" s="17" t="s">
        <v>159</v>
      </c>
      <c r="K7" s="17" t="s">
        <v>86</v>
      </c>
      <c r="L7" s="17" t="s">
        <v>87</v>
      </c>
      <c r="M7" s="17" t="s">
        <v>88</v>
      </c>
      <c r="N7" s="17" t="s">
        <v>45</v>
      </c>
      <c r="O7" s="17" t="s">
        <v>256</v>
      </c>
      <c r="P7" s="17" t="s">
        <v>90</v>
      </c>
    </row>
    <row r="8" ht="60.0" customHeight="1">
      <c r="A8" s="4" t="s">
        <v>36</v>
      </c>
      <c r="B8" s="17" t="s">
        <v>276</v>
      </c>
      <c r="C8" s="17" t="s">
        <v>55</v>
      </c>
      <c r="D8" s="17"/>
      <c r="E8" s="17" t="s">
        <v>277</v>
      </c>
      <c r="F8" s="17" t="s">
        <v>93</v>
      </c>
      <c r="G8" s="17" t="s">
        <v>94</v>
      </c>
      <c r="H8" s="18">
        <v>94.16</v>
      </c>
      <c r="I8" s="17" t="s">
        <v>278</v>
      </c>
      <c r="J8" s="17" t="s">
        <v>277</v>
      </c>
      <c r="K8" s="17" t="s">
        <v>279</v>
      </c>
      <c r="L8" s="17" t="s">
        <v>280</v>
      </c>
      <c r="M8" s="17" t="s">
        <v>281</v>
      </c>
      <c r="N8" s="17" t="s">
        <v>45</v>
      </c>
      <c r="O8" s="17" t="s">
        <v>282</v>
      </c>
      <c r="P8" s="17" t="s">
        <v>64</v>
      </c>
    </row>
    <row r="9" ht="60.0" customHeight="1">
      <c r="A9" s="4" t="s">
        <v>36</v>
      </c>
      <c r="B9" s="17" t="s">
        <v>262</v>
      </c>
      <c r="C9" s="17" t="s">
        <v>55</v>
      </c>
      <c r="D9" s="17"/>
      <c r="E9" s="17" t="s">
        <v>283</v>
      </c>
      <c r="F9" s="17" t="s">
        <v>93</v>
      </c>
      <c r="G9" s="17" t="s">
        <v>94</v>
      </c>
      <c r="H9" s="18">
        <v>96.72</v>
      </c>
      <c r="I9" s="17" t="s">
        <v>284</v>
      </c>
      <c r="J9" s="17" t="s">
        <v>283</v>
      </c>
      <c r="K9" s="17" t="s">
        <v>285</v>
      </c>
      <c r="L9" s="17" t="s">
        <v>71</v>
      </c>
      <c r="M9" s="17" t="s">
        <v>249</v>
      </c>
      <c r="N9" s="17" t="s">
        <v>45</v>
      </c>
      <c r="O9" s="17" t="s">
        <v>286</v>
      </c>
      <c r="P9" s="17" t="s">
        <v>287</v>
      </c>
    </row>
    <row r="10" ht="60.0" customHeight="1">
      <c r="A10" s="4" t="s">
        <v>36</v>
      </c>
      <c r="B10" s="20" t="s">
        <v>290</v>
      </c>
      <c r="C10" s="20" t="s">
        <v>55</v>
      </c>
      <c r="D10" s="20"/>
      <c r="E10" s="20" t="s">
        <v>291</v>
      </c>
      <c r="F10" s="20" t="s">
        <v>93</v>
      </c>
      <c r="G10" s="20" t="s">
        <v>94</v>
      </c>
      <c r="H10" s="21">
        <v>99.9</v>
      </c>
      <c r="I10" s="20" t="s">
        <v>292</v>
      </c>
      <c r="J10" s="20" t="s">
        <v>291</v>
      </c>
      <c r="K10" s="20" t="s">
        <v>293</v>
      </c>
      <c r="L10" s="20" t="s">
        <v>142</v>
      </c>
      <c r="M10" s="20" t="s">
        <v>143</v>
      </c>
      <c r="N10" s="20" t="s">
        <v>45</v>
      </c>
      <c r="O10" s="20" t="s">
        <v>294</v>
      </c>
      <c r="P10" s="20" t="s">
        <v>122</v>
      </c>
    </row>
    <row r="11" ht="60.0" customHeight="1">
      <c r="A11" s="4" t="s">
        <v>36</v>
      </c>
      <c r="B11" s="17" t="s">
        <v>290</v>
      </c>
      <c r="C11" s="17" t="s">
        <v>55</v>
      </c>
      <c r="D11" s="17"/>
      <c r="E11" s="17" t="s">
        <v>295</v>
      </c>
      <c r="F11" s="17" t="s">
        <v>93</v>
      </c>
      <c r="G11" s="17" t="s">
        <v>94</v>
      </c>
      <c r="H11" s="18">
        <v>100.0</v>
      </c>
      <c r="I11" s="17" t="s">
        <v>296</v>
      </c>
      <c r="J11" s="17" t="s">
        <v>295</v>
      </c>
      <c r="K11" s="17" t="s">
        <v>297</v>
      </c>
      <c r="L11" s="17" t="s">
        <v>119</v>
      </c>
      <c r="M11" s="17" t="s">
        <v>298</v>
      </c>
      <c r="N11" s="17" t="s">
        <v>45</v>
      </c>
      <c r="O11" s="17" t="s">
        <v>299</v>
      </c>
      <c r="P11" s="17" t="s">
        <v>300</v>
      </c>
    </row>
    <row r="12" ht="60.0" customHeight="1">
      <c r="A12" s="4" t="s">
        <v>36</v>
      </c>
      <c r="B12" s="17" t="s">
        <v>91</v>
      </c>
      <c r="C12" s="17" t="s">
        <v>55</v>
      </c>
      <c r="D12" s="17"/>
      <c r="E12" s="17" t="s">
        <v>92</v>
      </c>
      <c r="F12" s="17" t="s">
        <v>93</v>
      </c>
      <c r="G12" s="17" t="s">
        <v>94</v>
      </c>
      <c r="H12" s="18">
        <v>105.91</v>
      </c>
      <c r="I12" s="17" t="s">
        <v>309</v>
      </c>
      <c r="J12" s="17" t="s">
        <v>92</v>
      </c>
      <c r="K12" s="17" t="s">
        <v>96</v>
      </c>
      <c r="L12" s="17" t="s">
        <v>97</v>
      </c>
      <c r="M12" s="17" t="s">
        <v>98</v>
      </c>
      <c r="N12" s="17" t="s">
        <v>45</v>
      </c>
      <c r="O12" s="17" t="s">
        <v>310</v>
      </c>
      <c r="P12" s="17" t="s">
        <v>64</v>
      </c>
    </row>
    <row r="13" ht="60.0" customHeight="1">
      <c r="A13" s="4" t="s">
        <v>168</v>
      </c>
      <c r="B13" s="17" t="s">
        <v>65</v>
      </c>
      <c r="C13" s="17" t="s">
        <v>55</v>
      </c>
      <c r="D13" s="17"/>
      <c r="E13" s="17" t="s">
        <v>157</v>
      </c>
      <c r="F13" s="17" t="s">
        <v>93</v>
      </c>
      <c r="G13" s="17" t="s">
        <v>94</v>
      </c>
      <c r="H13" s="18">
        <v>122.05</v>
      </c>
      <c r="I13" s="17" t="s">
        <v>340</v>
      </c>
      <c r="J13" s="17" t="s">
        <v>159</v>
      </c>
      <c r="K13" s="17" t="s">
        <v>86</v>
      </c>
      <c r="L13" s="17" t="s">
        <v>87</v>
      </c>
      <c r="M13" s="17" t="s">
        <v>88</v>
      </c>
      <c r="N13" s="17" t="s">
        <v>45</v>
      </c>
      <c r="O13" s="17" t="s">
        <v>341</v>
      </c>
      <c r="P13" s="17" t="s">
        <v>90</v>
      </c>
    </row>
    <row r="14" ht="60.0" customHeight="1">
      <c r="A14" s="4" t="s">
        <v>36</v>
      </c>
      <c r="B14" s="20" t="s">
        <v>131</v>
      </c>
      <c r="C14" s="20" t="s">
        <v>55</v>
      </c>
      <c r="D14" s="20"/>
      <c r="E14" s="20" t="s">
        <v>56</v>
      </c>
      <c r="F14" s="20" t="s">
        <v>93</v>
      </c>
      <c r="G14" s="20" t="s">
        <v>94</v>
      </c>
      <c r="H14" s="21">
        <v>125.0</v>
      </c>
      <c r="I14" s="20" t="s">
        <v>342</v>
      </c>
      <c r="J14" s="20" t="s">
        <v>56</v>
      </c>
      <c r="K14" s="20" t="s">
        <v>60</v>
      </c>
      <c r="L14" s="20" t="s">
        <v>61</v>
      </c>
      <c r="M14" s="20" t="s">
        <v>62</v>
      </c>
      <c r="N14" s="20" t="s">
        <v>45</v>
      </c>
      <c r="O14" s="20" t="s">
        <v>343</v>
      </c>
      <c r="P14" s="20" t="s">
        <v>64</v>
      </c>
    </row>
    <row r="15" ht="60.0" customHeight="1">
      <c r="A15" s="22" t="s">
        <v>168</v>
      </c>
      <c r="B15" s="17" t="s">
        <v>108</v>
      </c>
      <c r="C15" s="17" t="s">
        <v>55</v>
      </c>
      <c r="D15" s="17"/>
      <c r="E15" s="17" t="s">
        <v>92</v>
      </c>
      <c r="F15" s="17" t="s">
        <v>93</v>
      </c>
      <c r="G15" s="17" t="s">
        <v>94</v>
      </c>
      <c r="H15" s="18">
        <v>141.94</v>
      </c>
      <c r="I15" s="17" t="s">
        <v>363</v>
      </c>
      <c r="J15" s="17" t="s">
        <v>92</v>
      </c>
      <c r="K15" s="17" t="s">
        <v>208</v>
      </c>
      <c r="L15" s="17" t="s">
        <v>97</v>
      </c>
      <c r="M15" s="17" t="s">
        <v>98</v>
      </c>
      <c r="N15" s="17" t="s">
        <v>45</v>
      </c>
      <c r="O15" s="17" t="s">
        <v>364</v>
      </c>
      <c r="P15" s="17" t="s">
        <v>64</v>
      </c>
    </row>
    <row r="16" ht="60.0" customHeight="1">
      <c r="A16" s="4" t="s">
        <v>168</v>
      </c>
      <c r="B16" s="20" t="s">
        <v>115</v>
      </c>
      <c r="C16" s="20" t="s">
        <v>378</v>
      </c>
      <c r="D16" s="20"/>
      <c r="E16" s="20" t="s">
        <v>379</v>
      </c>
      <c r="F16" s="20" t="s">
        <v>93</v>
      </c>
      <c r="G16" s="20" t="s">
        <v>94</v>
      </c>
      <c r="H16" s="21">
        <v>158.46</v>
      </c>
      <c r="I16" s="20" t="s">
        <v>380</v>
      </c>
      <c r="J16" s="20" t="s">
        <v>379</v>
      </c>
      <c r="K16" s="20" t="s">
        <v>381</v>
      </c>
      <c r="L16" s="20" t="s">
        <v>142</v>
      </c>
      <c r="M16" s="20" t="s">
        <v>143</v>
      </c>
      <c r="N16" s="20" t="s">
        <v>45</v>
      </c>
      <c r="O16" s="20" t="s">
        <v>382</v>
      </c>
      <c r="P16" s="20" t="s">
        <v>114</v>
      </c>
    </row>
    <row r="17" ht="60.0" customHeight="1">
      <c r="A17" s="4" t="s">
        <v>168</v>
      </c>
      <c r="B17" s="20" t="s">
        <v>233</v>
      </c>
      <c r="C17" s="20" t="s">
        <v>55</v>
      </c>
      <c r="D17" s="20"/>
      <c r="E17" s="20" t="s">
        <v>397</v>
      </c>
      <c r="F17" s="20" t="s">
        <v>93</v>
      </c>
      <c r="G17" s="20" t="s">
        <v>94</v>
      </c>
      <c r="H17" s="21">
        <v>186.74</v>
      </c>
      <c r="I17" s="20" t="s">
        <v>398</v>
      </c>
      <c r="J17" s="20" t="s">
        <v>397</v>
      </c>
      <c r="K17" s="20" t="s">
        <v>399</v>
      </c>
      <c r="L17" s="20" t="s">
        <v>400</v>
      </c>
      <c r="M17" s="20" t="s">
        <v>401</v>
      </c>
      <c r="N17" s="20" t="s">
        <v>45</v>
      </c>
      <c r="O17" s="20" t="s">
        <v>402</v>
      </c>
      <c r="P17" s="20" t="s">
        <v>403</v>
      </c>
    </row>
    <row r="18" ht="60.0" customHeight="1">
      <c r="A18" s="4" t="s">
        <v>168</v>
      </c>
      <c r="B18" s="20" t="s">
        <v>91</v>
      </c>
      <c r="C18" s="20" t="s">
        <v>55</v>
      </c>
      <c r="D18" s="20"/>
      <c r="E18" s="20" t="s">
        <v>157</v>
      </c>
      <c r="F18" s="20" t="s">
        <v>93</v>
      </c>
      <c r="G18" s="20" t="s">
        <v>94</v>
      </c>
      <c r="H18" s="21">
        <v>223.12</v>
      </c>
      <c r="I18" s="20" t="s">
        <v>409</v>
      </c>
      <c r="J18" s="20" t="s">
        <v>159</v>
      </c>
      <c r="K18" s="20" t="s">
        <v>86</v>
      </c>
      <c r="L18" s="20" t="s">
        <v>87</v>
      </c>
      <c r="M18" s="20" t="s">
        <v>88</v>
      </c>
      <c r="N18" s="20" t="s">
        <v>45</v>
      </c>
      <c r="O18" s="20" t="s">
        <v>410</v>
      </c>
      <c r="P18" s="20" t="s">
        <v>90</v>
      </c>
    </row>
    <row r="19" ht="60.0" customHeight="1">
      <c r="A19" s="4" t="s">
        <v>168</v>
      </c>
      <c r="B19" s="17" t="s">
        <v>156</v>
      </c>
      <c r="C19" s="17" t="s">
        <v>55</v>
      </c>
      <c r="D19" s="17"/>
      <c r="E19" s="17" t="s">
        <v>84</v>
      </c>
      <c r="F19" s="17" t="s">
        <v>93</v>
      </c>
      <c r="G19" s="17" t="s">
        <v>94</v>
      </c>
      <c r="H19" s="18">
        <v>286.19</v>
      </c>
      <c r="I19" s="17" t="s">
        <v>443</v>
      </c>
      <c r="J19" s="17" t="s">
        <v>84</v>
      </c>
      <c r="K19" s="17" t="s">
        <v>86</v>
      </c>
      <c r="L19" s="17" t="s">
        <v>87</v>
      </c>
      <c r="M19" s="17" t="s">
        <v>88</v>
      </c>
      <c r="N19" s="17" t="s">
        <v>45</v>
      </c>
      <c r="O19" s="17" t="s">
        <v>444</v>
      </c>
      <c r="P19" s="17" t="s">
        <v>90</v>
      </c>
    </row>
    <row r="20" ht="60.0" customHeight="1">
      <c r="A20" s="4" t="s">
        <v>168</v>
      </c>
      <c r="B20" s="17" t="s">
        <v>115</v>
      </c>
      <c r="C20" s="17" t="s">
        <v>55</v>
      </c>
      <c r="D20" s="17"/>
      <c r="E20" s="17" t="s">
        <v>445</v>
      </c>
      <c r="F20" s="17" t="s">
        <v>93</v>
      </c>
      <c r="G20" s="17" t="s">
        <v>94</v>
      </c>
      <c r="H20" s="18">
        <v>2753.42</v>
      </c>
      <c r="I20" s="17" t="s">
        <v>492</v>
      </c>
      <c r="J20" s="17" t="s">
        <v>445</v>
      </c>
      <c r="K20" s="17" t="s">
        <v>447</v>
      </c>
      <c r="L20" s="17" t="s">
        <v>142</v>
      </c>
      <c r="M20" s="17" t="s">
        <v>143</v>
      </c>
      <c r="N20" s="17" t="s">
        <v>45</v>
      </c>
      <c r="O20" s="17" t="s">
        <v>493</v>
      </c>
      <c r="P20" s="17" t="s">
        <v>182</v>
      </c>
    </row>
    <row r="21" ht="60.0" customHeight="1">
      <c r="A21" s="22" t="s">
        <v>168</v>
      </c>
      <c r="B21" s="20" t="s">
        <v>115</v>
      </c>
      <c r="C21" s="20" t="s">
        <v>55</v>
      </c>
      <c r="D21" s="20"/>
      <c r="E21" s="20" t="s">
        <v>494</v>
      </c>
      <c r="F21" s="20" t="s">
        <v>93</v>
      </c>
      <c r="G21" s="20" t="s">
        <v>94</v>
      </c>
      <c r="H21" s="21">
        <v>3161.88</v>
      </c>
      <c r="I21" s="20" t="s">
        <v>495</v>
      </c>
      <c r="J21" s="20" t="s">
        <v>494</v>
      </c>
      <c r="K21" s="20" t="s">
        <v>285</v>
      </c>
      <c r="L21" s="20" t="s">
        <v>71</v>
      </c>
      <c r="M21" s="20" t="s">
        <v>249</v>
      </c>
      <c r="N21" s="20" t="s">
        <v>45</v>
      </c>
      <c r="O21" s="20" t="s">
        <v>496</v>
      </c>
      <c r="P21" s="20" t="s">
        <v>287</v>
      </c>
    </row>
    <row r="22" ht="15.75" customHeight="1">
      <c r="A22" s="4" t="s">
        <v>168</v>
      </c>
      <c r="B22" s="25" t="s">
        <v>383</v>
      </c>
      <c r="C22" s="25" t="s">
        <v>55</v>
      </c>
      <c r="D22" s="25"/>
      <c r="E22" s="25" t="s">
        <v>503</v>
      </c>
      <c r="F22" s="25" t="s">
        <v>93</v>
      </c>
      <c r="G22" s="25" t="s">
        <v>94</v>
      </c>
      <c r="H22" s="26">
        <v>7402.3</v>
      </c>
      <c r="I22" s="25" t="s">
        <v>504</v>
      </c>
      <c r="J22" s="25" t="s">
        <v>503</v>
      </c>
      <c r="K22" s="25" t="s">
        <v>285</v>
      </c>
      <c r="L22" s="25" t="s">
        <v>71</v>
      </c>
      <c r="M22" s="25" t="s">
        <v>249</v>
      </c>
      <c r="N22" s="25" t="s">
        <v>45</v>
      </c>
      <c r="O22" s="25" t="s">
        <v>505</v>
      </c>
      <c r="P22" s="25" t="s">
        <v>287</v>
      </c>
    </row>
    <row r="23" ht="15.75" customHeight="1">
      <c r="A23" s="4" t="s">
        <v>506</v>
      </c>
      <c r="B23" s="25" t="s">
        <v>290</v>
      </c>
      <c r="C23" s="25" t="s">
        <v>55</v>
      </c>
      <c r="D23" s="25"/>
      <c r="E23" s="25" t="s">
        <v>56</v>
      </c>
      <c r="F23" s="25" t="s">
        <v>93</v>
      </c>
      <c r="G23" s="25" t="s">
        <v>94</v>
      </c>
      <c r="H23" s="26">
        <v>2.21</v>
      </c>
      <c r="I23" s="25" t="s">
        <v>507</v>
      </c>
      <c r="J23" s="25" t="s">
        <v>56</v>
      </c>
      <c r="K23" s="25" t="s">
        <v>60</v>
      </c>
      <c r="L23" s="25" t="s">
        <v>61</v>
      </c>
      <c r="M23" s="25" t="s">
        <v>62</v>
      </c>
      <c r="N23" s="25" t="s">
        <v>45</v>
      </c>
      <c r="O23" s="25" t="s">
        <v>508</v>
      </c>
      <c r="P23" s="25" t="s">
        <v>64</v>
      </c>
    </row>
    <row r="24" ht="15.75" customHeight="1">
      <c r="A24" s="4" t="s">
        <v>506</v>
      </c>
      <c r="B24" s="23" t="s">
        <v>54</v>
      </c>
      <c r="C24" s="23" t="s">
        <v>55</v>
      </c>
      <c r="D24" s="23"/>
      <c r="E24" s="23" t="s">
        <v>92</v>
      </c>
      <c r="F24" s="23" t="s">
        <v>93</v>
      </c>
      <c r="G24" s="23" t="s">
        <v>94</v>
      </c>
      <c r="H24" s="24">
        <v>15.73</v>
      </c>
      <c r="I24" s="23" t="s">
        <v>628</v>
      </c>
      <c r="J24" s="23" t="s">
        <v>92</v>
      </c>
      <c r="K24" s="23" t="s">
        <v>96</v>
      </c>
      <c r="L24" s="23" t="s">
        <v>97</v>
      </c>
      <c r="M24" s="23" t="s">
        <v>98</v>
      </c>
      <c r="N24" s="23" t="s">
        <v>45</v>
      </c>
      <c r="O24" s="23" t="s">
        <v>629</v>
      </c>
      <c r="P24" s="23" t="s">
        <v>64</v>
      </c>
    </row>
    <row r="25" ht="15.75" customHeight="1">
      <c r="A25" s="4" t="s">
        <v>506</v>
      </c>
      <c r="B25" s="23" t="s">
        <v>196</v>
      </c>
      <c r="C25" s="23" t="s">
        <v>55</v>
      </c>
      <c r="D25" s="23"/>
      <c r="E25" s="23" t="s">
        <v>644</v>
      </c>
      <c r="F25" s="23" t="s">
        <v>93</v>
      </c>
      <c r="G25" s="23" t="s">
        <v>94</v>
      </c>
      <c r="H25" s="24">
        <v>16.64</v>
      </c>
      <c r="I25" s="23" t="s">
        <v>645</v>
      </c>
      <c r="J25" s="23" t="s">
        <v>644</v>
      </c>
      <c r="K25" s="23" t="s">
        <v>646</v>
      </c>
      <c r="L25" s="23" t="s">
        <v>647</v>
      </c>
      <c r="M25" s="23" t="s">
        <v>648</v>
      </c>
      <c r="N25" s="23" t="s">
        <v>45</v>
      </c>
      <c r="O25" s="23" t="s">
        <v>649</v>
      </c>
      <c r="P25" s="23" t="s">
        <v>74</v>
      </c>
    </row>
    <row r="26" ht="15.75" customHeight="1">
      <c r="A26" s="4" t="s">
        <v>506</v>
      </c>
      <c r="B26" s="25" t="s">
        <v>183</v>
      </c>
      <c r="C26" s="25" t="s">
        <v>55</v>
      </c>
      <c r="D26" s="25"/>
      <c r="E26" s="25" t="s">
        <v>92</v>
      </c>
      <c r="F26" s="25" t="s">
        <v>93</v>
      </c>
      <c r="G26" s="25" t="s">
        <v>94</v>
      </c>
      <c r="H26" s="26">
        <v>19.94</v>
      </c>
      <c r="I26" s="25" t="s">
        <v>659</v>
      </c>
      <c r="J26" s="25" t="s">
        <v>92</v>
      </c>
      <c r="K26" s="25" t="s">
        <v>208</v>
      </c>
      <c r="L26" s="25" t="s">
        <v>97</v>
      </c>
      <c r="M26" s="25" t="s">
        <v>98</v>
      </c>
      <c r="N26" s="25" t="s">
        <v>45</v>
      </c>
      <c r="O26" s="25" t="s">
        <v>660</v>
      </c>
      <c r="P26" s="25" t="s">
        <v>64</v>
      </c>
    </row>
    <row r="27" ht="15.75" customHeight="1">
      <c r="A27" s="4" t="s">
        <v>506</v>
      </c>
      <c r="B27" s="25" t="s">
        <v>115</v>
      </c>
      <c r="C27" s="25" t="s">
        <v>55</v>
      </c>
      <c r="D27" s="25"/>
      <c r="E27" s="25" t="s">
        <v>92</v>
      </c>
      <c r="F27" s="25" t="s">
        <v>93</v>
      </c>
      <c r="G27" s="25" t="s">
        <v>94</v>
      </c>
      <c r="H27" s="26">
        <v>22.47</v>
      </c>
      <c r="I27" s="25" t="s">
        <v>690</v>
      </c>
      <c r="J27" s="25" t="s">
        <v>92</v>
      </c>
      <c r="K27" s="25" t="s">
        <v>208</v>
      </c>
      <c r="L27" s="25" t="s">
        <v>97</v>
      </c>
      <c r="M27" s="25" t="s">
        <v>98</v>
      </c>
      <c r="N27" s="25" t="s">
        <v>45</v>
      </c>
      <c r="O27" s="25" t="s">
        <v>691</v>
      </c>
      <c r="P27" s="25" t="s">
        <v>64</v>
      </c>
    </row>
    <row r="28" ht="15.75" customHeight="1">
      <c r="A28" s="4" t="s">
        <v>710</v>
      </c>
      <c r="B28" s="25" t="s">
        <v>65</v>
      </c>
      <c r="C28" s="25" t="s">
        <v>55</v>
      </c>
      <c r="D28" s="25"/>
      <c r="E28" s="25" t="s">
        <v>137</v>
      </c>
      <c r="F28" s="25" t="s">
        <v>93</v>
      </c>
      <c r="G28" s="25" t="s">
        <v>94</v>
      </c>
      <c r="H28" s="26">
        <v>32.77</v>
      </c>
      <c r="I28" s="25" t="s">
        <v>777</v>
      </c>
      <c r="J28" s="25" t="s">
        <v>137</v>
      </c>
      <c r="K28" s="25" t="s">
        <v>141</v>
      </c>
      <c r="L28" s="25" t="s">
        <v>142</v>
      </c>
      <c r="M28" s="25" t="s">
        <v>143</v>
      </c>
      <c r="N28" s="25" t="s">
        <v>45</v>
      </c>
      <c r="O28" s="25" t="s">
        <v>778</v>
      </c>
      <c r="P28" s="25" t="s">
        <v>74</v>
      </c>
    </row>
    <row r="29" ht="15.75" customHeight="1">
      <c r="A29" s="4" t="s">
        <v>710</v>
      </c>
      <c r="B29" s="23" t="s">
        <v>37</v>
      </c>
      <c r="C29" s="23" t="s">
        <v>55</v>
      </c>
      <c r="D29" s="23"/>
      <c r="E29" s="23" t="s">
        <v>92</v>
      </c>
      <c r="F29" s="23" t="s">
        <v>93</v>
      </c>
      <c r="G29" s="23" t="s">
        <v>94</v>
      </c>
      <c r="H29" s="24">
        <v>38.6</v>
      </c>
      <c r="I29" s="23" t="s">
        <v>814</v>
      </c>
      <c r="J29" s="23" t="s">
        <v>92</v>
      </c>
      <c r="K29" s="23" t="s">
        <v>208</v>
      </c>
      <c r="L29" s="23" t="s">
        <v>97</v>
      </c>
      <c r="M29" s="23" t="s">
        <v>98</v>
      </c>
      <c r="N29" s="23" t="s">
        <v>45</v>
      </c>
      <c r="O29" s="23" t="s">
        <v>815</v>
      </c>
      <c r="P29" s="23" t="s">
        <v>64</v>
      </c>
    </row>
    <row r="30" ht="15.75" customHeight="1">
      <c r="A30" s="4" t="s">
        <v>710</v>
      </c>
      <c r="B30" s="23" t="s">
        <v>290</v>
      </c>
      <c r="C30" s="23" t="s">
        <v>55</v>
      </c>
      <c r="D30" s="23"/>
      <c r="E30" s="23" t="s">
        <v>829</v>
      </c>
      <c r="F30" s="23" t="s">
        <v>93</v>
      </c>
      <c r="G30" s="23" t="s">
        <v>94</v>
      </c>
      <c r="H30" s="24">
        <v>41.82</v>
      </c>
      <c r="I30" s="23" t="s">
        <v>830</v>
      </c>
      <c r="J30" s="23" t="s">
        <v>829</v>
      </c>
      <c r="K30" s="23" t="s">
        <v>831</v>
      </c>
      <c r="L30" s="23" t="s">
        <v>142</v>
      </c>
      <c r="M30" s="23" t="s">
        <v>143</v>
      </c>
      <c r="N30" s="23" t="s">
        <v>45</v>
      </c>
      <c r="O30" s="23" t="s">
        <v>832</v>
      </c>
      <c r="P30" s="23" t="s">
        <v>122</v>
      </c>
    </row>
    <row r="31" ht="15.75" customHeight="1">
      <c r="A31" s="4" t="s">
        <v>506</v>
      </c>
      <c r="B31" s="25" t="s">
        <v>108</v>
      </c>
      <c r="C31" s="25" t="s">
        <v>55</v>
      </c>
      <c r="D31" s="25"/>
      <c r="E31" s="25" t="s">
        <v>833</v>
      </c>
      <c r="F31" s="25" t="s">
        <v>93</v>
      </c>
      <c r="G31" s="25" t="s">
        <v>94</v>
      </c>
      <c r="H31" s="26">
        <v>42.16</v>
      </c>
      <c r="I31" s="25" t="s">
        <v>834</v>
      </c>
      <c r="J31" s="25" t="s">
        <v>833</v>
      </c>
      <c r="K31" s="25" t="s">
        <v>835</v>
      </c>
      <c r="L31" s="25" t="s">
        <v>142</v>
      </c>
      <c r="M31" s="25" t="s">
        <v>143</v>
      </c>
      <c r="N31" s="25" t="s">
        <v>45</v>
      </c>
      <c r="O31" s="25" t="s">
        <v>836</v>
      </c>
      <c r="P31" s="25" t="s">
        <v>74</v>
      </c>
    </row>
    <row r="32" ht="15.75" customHeight="1">
      <c r="A32" s="4" t="s">
        <v>506</v>
      </c>
      <c r="B32" s="23" t="s">
        <v>108</v>
      </c>
      <c r="C32" s="23" t="s">
        <v>55</v>
      </c>
      <c r="D32" s="23"/>
      <c r="E32" s="23" t="s">
        <v>833</v>
      </c>
      <c r="F32" s="23" t="s">
        <v>93</v>
      </c>
      <c r="G32" s="23" t="s">
        <v>94</v>
      </c>
      <c r="H32" s="24">
        <v>46.06</v>
      </c>
      <c r="I32" s="23" t="s">
        <v>834</v>
      </c>
      <c r="J32" s="23" t="s">
        <v>833</v>
      </c>
      <c r="K32" s="23" t="s">
        <v>835</v>
      </c>
      <c r="L32" s="23" t="s">
        <v>142</v>
      </c>
      <c r="M32" s="23" t="s">
        <v>143</v>
      </c>
      <c r="N32" s="23" t="s">
        <v>45</v>
      </c>
      <c r="O32" s="23" t="s">
        <v>850</v>
      </c>
      <c r="P32" s="23" t="s">
        <v>74</v>
      </c>
    </row>
    <row r="33" ht="15.75" customHeight="1">
      <c r="A33" s="22" t="s">
        <v>506</v>
      </c>
      <c r="B33" s="25" t="s">
        <v>37</v>
      </c>
      <c r="C33" s="25" t="s">
        <v>55</v>
      </c>
      <c r="D33" s="25"/>
      <c r="E33" s="25" t="s">
        <v>92</v>
      </c>
      <c r="F33" s="25" t="s">
        <v>93</v>
      </c>
      <c r="G33" s="25" t="s">
        <v>94</v>
      </c>
      <c r="H33" s="26">
        <v>46.28</v>
      </c>
      <c r="I33" s="25" t="s">
        <v>851</v>
      </c>
      <c r="J33" s="25" t="s">
        <v>92</v>
      </c>
      <c r="K33" s="25" t="s">
        <v>96</v>
      </c>
      <c r="L33" s="25" t="s">
        <v>97</v>
      </c>
      <c r="M33" s="25" t="s">
        <v>98</v>
      </c>
      <c r="N33" s="25" t="s">
        <v>45</v>
      </c>
      <c r="O33" s="25" t="s">
        <v>852</v>
      </c>
      <c r="P33" s="25" t="s">
        <v>64</v>
      </c>
    </row>
    <row r="34" ht="15.75" customHeight="1">
      <c r="A34" s="22" t="s">
        <v>506</v>
      </c>
      <c r="B34" s="23" t="s">
        <v>115</v>
      </c>
      <c r="C34" s="23" t="s">
        <v>55</v>
      </c>
      <c r="D34" s="23"/>
      <c r="E34" s="23" t="s">
        <v>92</v>
      </c>
      <c r="F34" s="23" t="s">
        <v>93</v>
      </c>
      <c r="G34" s="23" t="s">
        <v>94</v>
      </c>
      <c r="H34" s="24">
        <v>47.28</v>
      </c>
      <c r="I34" s="23" t="s">
        <v>853</v>
      </c>
      <c r="J34" s="23" t="s">
        <v>92</v>
      </c>
      <c r="K34" s="23" t="s">
        <v>208</v>
      </c>
      <c r="L34" s="23" t="s">
        <v>97</v>
      </c>
      <c r="M34" s="23" t="s">
        <v>98</v>
      </c>
      <c r="N34" s="23" t="s">
        <v>45</v>
      </c>
      <c r="O34" s="23" t="s">
        <v>854</v>
      </c>
      <c r="P34" s="23" t="s">
        <v>64</v>
      </c>
    </row>
    <row r="35" ht="15.75" customHeight="1">
      <c r="A35" s="4" t="s">
        <v>506</v>
      </c>
      <c r="B35" s="23" t="s">
        <v>37</v>
      </c>
      <c r="C35" s="23" t="s">
        <v>55</v>
      </c>
      <c r="D35" s="23"/>
      <c r="E35" s="23" t="s">
        <v>92</v>
      </c>
      <c r="F35" s="23" t="s">
        <v>93</v>
      </c>
      <c r="G35" s="23" t="s">
        <v>94</v>
      </c>
      <c r="H35" s="24">
        <v>52.64</v>
      </c>
      <c r="I35" s="23" t="s">
        <v>886</v>
      </c>
      <c r="J35" s="23" t="s">
        <v>92</v>
      </c>
      <c r="K35" s="23" t="s">
        <v>96</v>
      </c>
      <c r="L35" s="23" t="s">
        <v>97</v>
      </c>
      <c r="M35" s="23" t="s">
        <v>98</v>
      </c>
      <c r="N35" s="23" t="s">
        <v>45</v>
      </c>
      <c r="O35" s="23" t="s">
        <v>887</v>
      </c>
      <c r="P35" s="23" t="s">
        <v>64</v>
      </c>
    </row>
    <row r="36" ht="15.75" customHeight="1">
      <c r="A36" s="4" t="s">
        <v>506</v>
      </c>
      <c r="B36" s="23" t="s">
        <v>123</v>
      </c>
      <c r="C36" s="23" t="s">
        <v>55</v>
      </c>
      <c r="D36" s="23"/>
      <c r="E36" s="23" t="s">
        <v>964</v>
      </c>
      <c r="F36" s="23" t="s">
        <v>93</v>
      </c>
      <c r="G36" s="23" t="s">
        <v>94</v>
      </c>
      <c r="H36" s="24">
        <v>70.84</v>
      </c>
      <c r="I36" s="23" t="s">
        <v>965</v>
      </c>
      <c r="J36" s="23" t="s">
        <v>964</v>
      </c>
      <c r="K36" s="23" t="s">
        <v>966</v>
      </c>
      <c r="L36" s="23" t="s">
        <v>142</v>
      </c>
      <c r="M36" s="23" t="s">
        <v>180</v>
      </c>
      <c r="N36" s="23" t="s">
        <v>45</v>
      </c>
      <c r="O36" s="23" t="s">
        <v>967</v>
      </c>
      <c r="P36" s="23" t="s">
        <v>122</v>
      </c>
    </row>
    <row r="37" ht="15.75" customHeight="1">
      <c r="A37" s="4" t="s">
        <v>506</v>
      </c>
      <c r="B37" s="23" t="s">
        <v>196</v>
      </c>
      <c r="C37" s="23" t="s">
        <v>55</v>
      </c>
      <c r="D37" s="23"/>
      <c r="E37" s="23" t="s">
        <v>970</v>
      </c>
      <c r="F37" s="23" t="s">
        <v>93</v>
      </c>
      <c r="G37" s="23" t="s">
        <v>94</v>
      </c>
      <c r="H37" s="24">
        <v>71.87</v>
      </c>
      <c r="I37" s="23" t="s">
        <v>971</v>
      </c>
      <c r="J37" s="23" t="s">
        <v>970</v>
      </c>
      <c r="K37" s="23" t="s">
        <v>972</v>
      </c>
      <c r="L37" s="23" t="s">
        <v>613</v>
      </c>
      <c r="M37" s="23" t="s">
        <v>614</v>
      </c>
      <c r="N37" s="23" t="s">
        <v>45</v>
      </c>
      <c r="O37" s="23" t="s">
        <v>973</v>
      </c>
      <c r="P37" s="23" t="s">
        <v>502</v>
      </c>
    </row>
    <row r="38" ht="15.75" customHeight="1">
      <c r="A38" s="4" t="s">
        <v>506</v>
      </c>
      <c r="B38" s="23" t="s">
        <v>131</v>
      </c>
      <c r="C38" s="23" t="s">
        <v>55</v>
      </c>
      <c r="D38" s="23"/>
      <c r="E38" s="23" t="s">
        <v>56</v>
      </c>
      <c r="F38" s="23" t="s">
        <v>93</v>
      </c>
      <c r="G38" s="23" t="s">
        <v>94</v>
      </c>
      <c r="H38" s="24">
        <v>73.06</v>
      </c>
      <c r="I38" s="23" t="s">
        <v>974</v>
      </c>
      <c r="J38" s="23" t="s">
        <v>56</v>
      </c>
      <c r="K38" s="23" t="s">
        <v>60</v>
      </c>
      <c r="L38" s="23" t="s">
        <v>61</v>
      </c>
      <c r="M38" s="23" t="s">
        <v>62</v>
      </c>
      <c r="N38" s="23" t="s">
        <v>45</v>
      </c>
      <c r="O38" s="23" t="s">
        <v>975</v>
      </c>
      <c r="P38" s="23" t="s">
        <v>64</v>
      </c>
    </row>
    <row r="39" ht="15.75" customHeight="1">
      <c r="A39" s="22" t="s">
        <v>506</v>
      </c>
      <c r="B39" s="23" t="s">
        <v>65</v>
      </c>
      <c r="C39" s="23" t="s">
        <v>55</v>
      </c>
      <c r="D39" s="23"/>
      <c r="E39" s="23" t="s">
        <v>833</v>
      </c>
      <c r="F39" s="23" t="s">
        <v>93</v>
      </c>
      <c r="G39" s="23" t="s">
        <v>94</v>
      </c>
      <c r="H39" s="24">
        <v>113.76</v>
      </c>
      <c r="I39" s="23" t="s">
        <v>834</v>
      </c>
      <c r="J39" s="23" t="s">
        <v>833</v>
      </c>
      <c r="K39" s="23" t="s">
        <v>835</v>
      </c>
      <c r="L39" s="23" t="s">
        <v>142</v>
      </c>
      <c r="M39" s="23" t="s">
        <v>143</v>
      </c>
      <c r="N39" s="23" t="s">
        <v>45</v>
      </c>
      <c r="O39" s="23" t="s">
        <v>1083</v>
      </c>
      <c r="P39" s="23" t="s">
        <v>74</v>
      </c>
    </row>
    <row r="40" ht="15.75" customHeight="1">
      <c r="A40" s="4" t="s">
        <v>506</v>
      </c>
      <c r="B40" s="23" t="s">
        <v>54</v>
      </c>
      <c r="C40" s="23" t="s">
        <v>55</v>
      </c>
      <c r="D40" s="23"/>
      <c r="E40" s="23" t="s">
        <v>665</v>
      </c>
      <c r="F40" s="23" t="s">
        <v>93</v>
      </c>
      <c r="G40" s="23" t="s">
        <v>94</v>
      </c>
      <c r="H40" s="24">
        <v>117.89</v>
      </c>
      <c r="I40" s="23" t="s">
        <v>1086</v>
      </c>
      <c r="J40" s="23" t="s">
        <v>665</v>
      </c>
      <c r="K40" s="23" t="s">
        <v>667</v>
      </c>
      <c r="L40" s="23" t="s">
        <v>142</v>
      </c>
      <c r="M40" s="23" t="s">
        <v>180</v>
      </c>
      <c r="N40" s="23" t="s">
        <v>45</v>
      </c>
      <c r="O40" s="23" t="s">
        <v>1087</v>
      </c>
      <c r="P40" s="23" t="s">
        <v>174</v>
      </c>
    </row>
    <row r="41" ht="15.75" customHeight="1">
      <c r="A41" s="22" t="s">
        <v>506</v>
      </c>
      <c r="B41" s="23" t="s">
        <v>290</v>
      </c>
      <c r="C41" s="23" t="s">
        <v>55</v>
      </c>
      <c r="D41" s="23"/>
      <c r="E41" s="23" t="s">
        <v>92</v>
      </c>
      <c r="F41" s="23" t="s">
        <v>93</v>
      </c>
      <c r="G41" s="23" t="s">
        <v>94</v>
      </c>
      <c r="H41" s="24">
        <v>118.07</v>
      </c>
      <c r="I41" s="23" t="s">
        <v>1088</v>
      </c>
      <c r="J41" s="23" t="s">
        <v>92</v>
      </c>
      <c r="K41" s="23" t="s">
        <v>208</v>
      </c>
      <c r="L41" s="23" t="s">
        <v>97</v>
      </c>
      <c r="M41" s="23" t="s">
        <v>98</v>
      </c>
      <c r="N41" s="23" t="s">
        <v>45</v>
      </c>
      <c r="O41" s="23" t="s">
        <v>1089</v>
      </c>
      <c r="P41" s="23" t="s">
        <v>64</v>
      </c>
    </row>
    <row r="42" ht="15.75" customHeight="1">
      <c r="A42" s="4" t="s">
        <v>710</v>
      </c>
      <c r="B42" s="25" t="s">
        <v>115</v>
      </c>
      <c r="C42" s="25" t="s">
        <v>55</v>
      </c>
      <c r="D42" s="25"/>
      <c r="E42" s="25" t="s">
        <v>56</v>
      </c>
      <c r="F42" s="25" t="s">
        <v>93</v>
      </c>
      <c r="G42" s="25" t="s">
        <v>94</v>
      </c>
      <c r="H42" s="26">
        <v>124.83</v>
      </c>
      <c r="I42" s="25" t="s">
        <v>1093</v>
      </c>
      <c r="J42" s="25" t="s">
        <v>56</v>
      </c>
      <c r="K42" s="25" t="s">
        <v>60</v>
      </c>
      <c r="L42" s="25" t="s">
        <v>61</v>
      </c>
      <c r="M42" s="25" t="s">
        <v>62</v>
      </c>
      <c r="N42" s="25" t="s">
        <v>45</v>
      </c>
      <c r="O42" s="25" t="s">
        <v>1094</v>
      </c>
      <c r="P42" s="25" t="s">
        <v>64</v>
      </c>
    </row>
    <row r="43" ht="15.75" customHeight="1">
      <c r="A43" s="4" t="s">
        <v>710</v>
      </c>
      <c r="B43" s="23" t="s">
        <v>290</v>
      </c>
      <c r="C43" s="23" t="s">
        <v>55</v>
      </c>
      <c r="D43" s="23"/>
      <c r="E43" s="23" t="s">
        <v>56</v>
      </c>
      <c r="F43" s="23" t="s">
        <v>93</v>
      </c>
      <c r="G43" s="23" t="s">
        <v>94</v>
      </c>
      <c r="H43" s="24">
        <v>125.0</v>
      </c>
      <c r="I43" s="23" t="s">
        <v>1095</v>
      </c>
      <c r="J43" s="23" t="s">
        <v>56</v>
      </c>
      <c r="K43" s="23" t="s">
        <v>60</v>
      </c>
      <c r="L43" s="23" t="s">
        <v>61</v>
      </c>
      <c r="M43" s="23" t="s">
        <v>62</v>
      </c>
      <c r="N43" s="23" t="s">
        <v>45</v>
      </c>
      <c r="O43" s="23" t="s">
        <v>1096</v>
      </c>
      <c r="P43" s="23" t="s">
        <v>64</v>
      </c>
    </row>
    <row r="44" ht="15.75" customHeight="1">
      <c r="A44" s="4" t="s">
        <v>506</v>
      </c>
      <c r="B44" s="25" t="s">
        <v>91</v>
      </c>
      <c r="C44" s="25" t="s">
        <v>55</v>
      </c>
      <c r="D44" s="25"/>
      <c r="E44" s="25" t="s">
        <v>92</v>
      </c>
      <c r="F44" s="25" t="s">
        <v>93</v>
      </c>
      <c r="G44" s="25" t="s">
        <v>94</v>
      </c>
      <c r="H44" s="26">
        <v>127.0</v>
      </c>
      <c r="I44" s="25" t="s">
        <v>1097</v>
      </c>
      <c r="J44" s="25" t="s">
        <v>92</v>
      </c>
      <c r="K44" s="25" t="s">
        <v>208</v>
      </c>
      <c r="L44" s="25" t="s">
        <v>97</v>
      </c>
      <c r="M44" s="25" t="s">
        <v>98</v>
      </c>
      <c r="N44" s="25" t="s">
        <v>45</v>
      </c>
      <c r="O44" s="25" t="s">
        <v>1098</v>
      </c>
      <c r="P44" s="25" t="s">
        <v>64</v>
      </c>
    </row>
    <row r="45" ht="15.75" customHeight="1">
      <c r="A45" s="22" t="s">
        <v>710</v>
      </c>
      <c r="B45" s="25" t="s">
        <v>183</v>
      </c>
      <c r="C45" s="25" t="s">
        <v>55</v>
      </c>
      <c r="D45" s="25"/>
      <c r="E45" s="25" t="s">
        <v>92</v>
      </c>
      <c r="F45" s="25" t="s">
        <v>93</v>
      </c>
      <c r="G45" s="25" t="s">
        <v>94</v>
      </c>
      <c r="H45" s="26">
        <v>142.52</v>
      </c>
      <c r="I45" s="25" t="s">
        <v>1120</v>
      </c>
      <c r="J45" s="25" t="s">
        <v>92</v>
      </c>
      <c r="K45" s="25" t="s">
        <v>208</v>
      </c>
      <c r="L45" s="25" t="s">
        <v>97</v>
      </c>
      <c r="M45" s="25" t="s">
        <v>98</v>
      </c>
      <c r="N45" s="25" t="s">
        <v>45</v>
      </c>
      <c r="O45" s="25" t="s">
        <v>1121</v>
      </c>
      <c r="P45" s="25" t="s">
        <v>64</v>
      </c>
    </row>
    <row r="46" ht="15.75" customHeight="1">
      <c r="A46" s="4" t="s">
        <v>710</v>
      </c>
      <c r="B46" s="23" t="s">
        <v>91</v>
      </c>
      <c r="C46" s="23" t="s">
        <v>55</v>
      </c>
      <c r="D46" s="23"/>
      <c r="E46" s="23" t="s">
        <v>92</v>
      </c>
      <c r="F46" s="23" t="s">
        <v>93</v>
      </c>
      <c r="G46" s="23" t="s">
        <v>94</v>
      </c>
      <c r="H46" s="24">
        <v>150.0</v>
      </c>
      <c r="I46" s="23" t="s">
        <v>1136</v>
      </c>
      <c r="J46" s="23" t="s">
        <v>92</v>
      </c>
      <c r="K46" s="23" t="s">
        <v>96</v>
      </c>
      <c r="L46" s="23" t="s">
        <v>97</v>
      </c>
      <c r="M46" s="23" t="s">
        <v>98</v>
      </c>
      <c r="N46" s="23" t="s">
        <v>45</v>
      </c>
      <c r="O46" s="23" t="s">
        <v>1137</v>
      </c>
      <c r="P46" s="23" t="s">
        <v>64</v>
      </c>
    </row>
    <row r="47" ht="15.75" customHeight="1">
      <c r="A47" s="22" t="s">
        <v>710</v>
      </c>
      <c r="B47" s="25" t="s">
        <v>37</v>
      </c>
      <c r="C47" s="25" t="s">
        <v>55</v>
      </c>
      <c r="D47" s="25"/>
      <c r="E47" s="25" t="s">
        <v>92</v>
      </c>
      <c r="F47" s="25" t="s">
        <v>93</v>
      </c>
      <c r="G47" s="25" t="s">
        <v>94</v>
      </c>
      <c r="H47" s="26">
        <v>162.35</v>
      </c>
      <c r="I47" s="25" t="s">
        <v>1163</v>
      </c>
      <c r="J47" s="25" t="s">
        <v>92</v>
      </c>
      <c r="K47" s="25" t="s">
        <v>208</v>
      </c>
      <c r="L47" s="25" t="s">
        <v>97</v>
      </c>
      <c r="M47" s="25" t="s">
        <v>98</v>
      </c>
      <c r="N47" s="25" t="s">
        <v>45</v>
      </c>
      <c r="O47" s="25" t="s">
        <v>1164</v>
      </c>
      <c r="P47" s="25" t="s">
        <v>64</v>
      </c>
    </row>
    <row r="48" ht="15.75" customHeight="1">
      <c r="A48" s="4" t="s">
        <v>710</v>
      </c>
      <c r="B48" s="25" t="s">
        <v>91</v>
      </c>
      <c r="C48" s="25" t="s">
        <v>55</v>
      </c>
      <c r="D48" s="25"/>
      <c r="E48" s="25" t="s">
        <v>92</v>
      </c>
      <c r="F48" s="25" t="s">
        <v>93</v>
      </c>
      <c r="G48" s="25" t="s">
        <v>94</v>
      </c>
      <c r="H48" s="26">
        <v>168.35</v>
      </c>
      <c r="I48" s="25" t="s">
        <v>1167</v>
      </c>
      <c r="J48" s="25" t="s">
        <v>92</v>
      </c>
      <c r="K48" s="25" t="s">
        <v>208</v>
      </c>
      <c r="L48" s="25" t="s">
        <v>97</v>
      </c>
      <c r="M48" s="25" t="s">
        <v>98</v>
      </c>
      <c r="N48" s="25" t="s">
        <v>45</v>
      </c>
      <c r="O48" s="25" t="s">
        <v>1168</v>
      </c>
      <c r="P48" s="25" t="s">
        <v>64</v>
      </c>
    </row>
    <row r="49" ht="15.75" customHeight="1">
      <c r="A49" s="4" t="s">
        <v>710</v>
      </c>
      <c r="B49" s="23" t="s">
        <v>37</v>
      </c>
      <c r="C49" s="23" t="s">
        <v>55</v>
      </c>
      <c r="D49" s="23"/>
      <c r="E49" s="23" t="s">
        <v>92</v>
      </c>
      <c r="F49" s="23" t="s">
        <v>93</v>
      </c>
      <c r="G49" s="23" t="s">
        <v>94</v>
      </c>
      <c r="H49" s="24">
        <v>172.22</v>
      </c>
      <c r="I49" s="23" t="s">
        <v>1173</v>
      </c>
      <c r="J49" s="23" t="s">
        <v>92</v>
      </c>
      <c r="K49" s="23" t="s">
        <v>208</v>
      </c>
      <c r="L49" s="23" t="s">
        <v>97</v>
      </c>
      <c r="M49" s="23" t="s">
        <v>98</v>
      </c>
      <c r="N49" s="23" t="s">
        <v>45</v>
      </c>
      <c r="O49" s="23" t="s">
        <v>1174</v>
      </c>
      <c r="P49" s="23" t="s">
        <v>64</v>
      </c>
    </row>
    <row r="50" ht="15.75" customHeight="1">
      <c r="A50" s="4" t="s">
        <v>710</v>
      </c>
      <c r="B50" s="23" t="s">
        <v>115</v>
      </c>
      <c r="C50" s="23" t="s">
        <v>55</v>
      </c>
      <c r="D50" s="23"/>
      <c r="E50" s="23" t="s">
        <v>92</v>
      </c>
      <c r="F50" s="23" t="s">
        <v>93</v>
      </c>
      <c r="G50" s="23" t="s">
        <v>94</v>
      </c>
      <c r="H50" s="24">
        <v>172.65</v>
      </c>
      <c r="I50" s="23" t="s">
        <v>1181</v>
      </c>
      <c r="J50" s="23" t="s">
        <v>92</v>
      </c>
      <c r="K50" s="23" t="s">
        <v>208</v>
      </c>
      <c r="L50" s="23" t="s">
        <v>97</v>
      </c>
      <c r="M50" s="23" t="s">
        <v>98</v>
      </c>
      <c r="N50" s="23" t="s">
        <v>45</v>
      </c>
      <c r="O50" s="23" t="s">
        <v>1182</v>
      </c>
      <c r="P50" s="23" t="s">
        <v>64</v>
      </c>
    </row>
    <row r="51" ht="15.75" customHeight="1">
      <c r="A51" s="4" t="s">
        <v>710</v>
      </c>
      <c r="B51" s="25" t="s">
        <v>37</v>
      </c>
      <c r="C51" s="25" t="s">
        <v>55</v>
      </c>
      <c r="D51" s="25"/>
      <c r="E51" s="25" t="s">
        <v>92</v>
      </c>
      <c r="F51" s="25" t="s">
        <v>93</v>
      </c>
      <c r="G51" s="25" t="s">
        <v>94</v>
      </c>
      <c r="H51" s="26">
        <v>173.5</v>
      </c>
      <c r="I51" s="25" t="s">
        <v>1187</v>
      </c>
      <c r="J51" s="25" t="s">
        <v>92</v>
      </c>
      <c r="K51" s="25" t="s">
        <v>208</v>
      </c>
      <c r="L51" s="25" t="s">
        <v>97</v>
      </c>
      <c r="M51" s="25" t="s">
        <v>98</v>
      </c>
      <c r="N51" s="25" t="s">
        <v>45</v>
      </c>
      <c r="O51" s="25" t="s">
        <v>1188</v>
      </c>
      <c r="P51" s="25" t="s">
        <v>64</v>
      </c>
    </row>
    <row r="52" ht="15.75" customHeight="1">
      <c r="A52" s="4" t="s">
        <v>710</v>
      </c>
      <c r="B52" s="25" t="s">
        <v>123</v>
      </c>
      <c r="C52" s="25" t="s">
        <v>55</v>
      </c>
      <c r="D52" s="25"/>
      <c r="E52" s="25" t="s">
        <v>92</v>
      </c>
      <c r="F52" s="25" t="s">
        <v>93</v>
      </c>
      <c r="G52" s="25" t="s">
        <v>94</v>
      </c>
      <c r="H52" s="26">
        <v>173.83</v>
      </c>
      <c r="I52" s="25" t="s">
        <v>1189</v>
      </c>
      <c r="J52" s="25" t="s">
        <v>92</v>
      </c>
      <c r="K52" s="25" t="s">
        <v>208</v>
      </c>
      <c r="L52" s="25" t="s">
        <v>97</v>
      </c>
      <c r="M52" s="25" t="s">
        <v>98</v>
      </c>
      <c r="N52" s="25" t="s">
        <v>45</v>
      </c>
      <c r="O52" s="25" t="s">
        <v>1190</v>
      </c>
      <c r="P52" s="25" t="s">
        <v>64</v>
      </c>
    </row>
    <row r="53" ht="15.75" customHeight="1">
      <c r="A53" s="22" t="s">
        <v>710</v>
      </c>
      <c r="B53" s="25" t="s">
        <v>115</v>
      </c>
      <c r="C53" s="25" t="s">
        <v>55</v>
      </c>
      <c r="D53" s="25"/>
      <c r="E53" s="25" t="s">
        <v>92</v>
      </c>
      <c r="F53" s="25" t="s">
        <v>93</v>
      </c>
      <c r="G53" s="25" t="s">
        <v>94</v>
      </c>
      <c r="H53" s="26">
        <v>174.89</v>
      </c>
      <c r="I53" s="25" t="s">
        <v>1191</v>
      </c>
      <c r="J53" s="25" t="s">
        <v>92</v>
      </c>
      <c r="K53" s="25" t="s">
        <v>208</v>
      </c>
      <c r="L53" s="25" t="s">
        <v>97</v>
      </c>
      <c r="M53" s="25" t="s">
        <v>98</v>
      </c>
      <c r="N53" s="25" t="s">
        <v>45</v>
      </c>
      <c r="O53" s="25" t="s">
        <v>1192</v>
      </c>
      <c r="P53" s="25" t="s">
        <v>64</v>
      </c>
    </row>
    <row r="54" ht="15.75" customHeight="1">
      <c r="A54" s="22" t="s">
        <v>710</v>
      </c>
      <c r="B54" s="23" t="s">
        <v>54</v>
      </c>
      <c r="C54" s="23" t="s">
        <v>55</v>
      </c>
      <c r="D54" s="23"/>
      <c r="E54" s="23" t="s">
        <v>92</v>
      </c>
      <c r="F54" s="23" t="s">
        <v>93</v>
      </c>
      <c r="G54" s="23" t="s">
        <v>94</v>
      </c>
      <c r="H54" s="24">
        <v>175.0</v>
      </c>
      <c r="I54" s="23" t="s">
        <v>1205</v>
      </c>
      <c r="J54" s="23" t="s">
        <v>92</v>
      </c>
      <c r="K54" s="23" t="s">
        <v>208</v>
      </c>
      <c r="L54" s="23" t="s">
        <v>97</v>
      </c>
      <c r="M54" s="23" t="s">
        <v>98</v>
      </c>
      <c r="N54" s="23" t="s">
        <v>45</v>
      </c>
      <c r="O54" s="23" t="s">
        <v>1206</v>
      </c>
      <c r="P54" s="23" t="s">
        <v>64</v>
      </c>
    </row>
    <row r="55" ht="15.75" customHeight="1">
      <c r="A55" s="4" t="s">
        <v>710</v>
      </c>
      <c r="B55" s="23" t="s">
        <v>91</v>
      </c>
      <c r="C55" s="23" t="s">
        <v>55</v>
      </c>
      <c r="D55" s="23"/>
      <c r="E55" s="23" t="s">
        <v>92</v>
      </c>
      <c r="F55" s="23" t="s">
        <v>93</v>
      </c>
      <c r="G55" s="23" t="s">
        <v>94</v>
      </c>
      <c r="H55" s="24">
        <v>175.0</v>
      </c>
      <c r="I55" s="23" t="s">
        <v>1207</v>
      </c>
      <c r="J55" s="23" t="s">
        <v>92</v>
      </c>
      <c r="K55" s="23" t="s">
        <v>208</v>
      </c>
      <c r="L55" s="23" t="s">
        <v>97</v>
      </c>
      <c r="M55" s="23" t="s">
        <v>98</v>
      </c>
      <c r="N55" s="23" t="s">
        <v>45</v>
      </c>
      <c r="O55" s="23" t="s">
        <v>1208</v>
      </c>
      <c r="P55" s="23" t="s">
        <v>64</v>
      </c>
    </row>
    <row r="56" ht="15.75" customHeight="1">
      <c r="A56" s="4" t="s">
        <v>710</v>
      </c>
      <c r="B56" s="25" t="s">
        <v>37</v>
      </c>
      <c r="C56" s="25" t="s">
        <v>55</v>
      </c>
      <c r="D56" s="25"/>
      <c r="E56" s="25" t="s">
        <v>1213</v>
      </c>
      <c r="F56" s="25" t="s">
        <v>93</v>
      </c>
      <c r="G56" s="25" t="s">
        <v>94</v>
      </c>
      <c r="H56" s="26">
        <v>191.38</v>
      </c>
      <c r="I56" s="25" t="s">
        <v>1214</v>
      </c>
      <c r="J56" s="25" t="s">
        <v>1213</v>
      </c>
      <c r="K56" s="25" t="s">
        <v>1215</v>
      </c>
      <c r="L56" s="25" t="s">
        <v>142</v>
      </c>
      <c r="M56" s="25" t="s">
        <v>180</v>
      </c>
      <c r="N56" s="25" t="s">
        <v>45</v>
      </c>
      <c r="O56" s="25" t="s">
        <v>1216</v>
      </c>
      <c r="P56" s="25" t="s">
        <v>122</v>
      </c>
    </row>
    <row r="57" ht="15.75" customHeight="1">
      <c r="A57" s="4" t="s">
        <v>710</v>
      </c>
      <c r="B57" s="25" t="s">
        <v>123</v>
      </c>
      <c r="C57" s="25" t="s">
        <v>55</v>
      </c>
      <c r="D57" s="25"/>
      <c r="E57" s="25" t="s">
        <v>1345</v>
      </c>
      <c r="F57" s="25" t="s">
        <v>93</v>
      </c>
      <c r="G57" s="25" t="s">
        <v>94</v>
      </c>
      <c r="H57" s="26">
        <v>442.01</v>
      </c>
      <c r="I57" s="25" t="s">
        <v>1346</v>
      </c>
      <c r="J57" s="25" t="s">
        <v>1345</v>
      </c>
      <c r="K57" s="25" t="s">
        <v>1347</v>
      </c>
      <c r="L57" s="25" t="s">
        <v>142</v>
      </c>
      <c r="M57" s="25" t="s">
        <v>180</v>
      </c>
      <c r="N57" s="25" t="s">
        <v>45</v>
      </c>
      <c r="O57" s="25" t="s">
        <v>1348</v>
      </c>
      <c r="P57" s="25" t="s">
        <v>1349</v>
      </c>
    </row>
    <row r="58" ht="15.75" customHeight="1">
      <c r="H58" s="3"/>
    </row>
    <row r="59" ht="15.75" customHeight="1">
      <c r="F59" s="23" t="s">
        <v>14</v>
      </c>
      <c r="H59" s="3">
        <f>SUM(H2:H58)</f>
        <v>19075.7</v>
      </c>
    </row>
    <row r="60" ht="15.75" customHeight="1">
      <c r="H60" s="3"/>
    </row>
    <row r="61" ht="15.75" customHeight="1">
      <c r="F61" s="5" t="s">
        <v>5</v>
      </c>
      <c r="G61" s="5"/>
      <c r="H61" s="11"/>
      <c r="I61" s="5" t="s">
        <v>7</v>
      </c>
      <c r="J61" s="5" t="s">
        <v>8</v>
      </c>
      <c r="K61" s="5" t="s">
        <v>9</v>
      </c>
    </row>
    <row r="62" ht="15.75" customHeight="1">
      <c r="F62" s="7" t="s">
        <v>10</v>
      </c>
      <c r="H62" s="12">
        <f>SUMIF($A$2:$A$57,"no",$H$2:$H$57)</f>
        <v>15235.08</v>
      </c>
      <c r="I62" s="7">
        <f>COUNTIF(A2:A57,"no")</f>
        <v>21</v>
      </c>
      <c r="J62" s="9">
        <f t="shared" ref="J62:K62" si="1">H62/H64</f>
        <v>0.7986642692</v>
      </c>
      <c r="K62" s="9">
        <f t="shared" si="1"/>
        <v>0.375</v>
      </c>
    </row>
    <row r="63" ht="15.75" customHeight="1">
      <c r="F63" s="4" t="s">
        <v>11</v>
      </c>
      <c r="H63" s="3">
        <f>SUMIF($A$2:$A$57,"yes",$H$2:$H$57)</f>
        <v>3840.62</v>
      </c>
      <c r="I63" s="4">
        <f>COUNTIF(A2:A57,"yes")</f>
        <v>35</v>
      </c>
      <c r="J63" s="10">
        <f t="shared" ref="J63:K63" si="2">H63/H64</f>
        <v>0.2013357308</v>
      </c>
      <c r="K63" s="10">
        <f t="shared" si="2"/>
        <v>0.625</v>
      </c>
    </row>
    <row r="64" ht="15.75" customHeight="1">
      <c r="F64" s="4" t="s">
        <v>14</v>
      </c>
      <c r="H64" s="3">
        <f t="shared" ref="H64:I64" si="3">SUM(H62:H63)</f>
        <v>19075.7</v>
      </c>
      <c r="I64" s="4">
        <f t="shared" si="3"/>
        <v>56</v>
      </c>
    </row>
    <row r="65" ht="15.75" customHeight="1">
      <c r="H65" s="3"/>
    </row>
    <row r="66" ht="15.75" customHeight="1">
      <c r="H66" s="3"/>
    </row>
    <row r="67" ht="15.75" customHeight="1">
      <c r="H67" s="3"/>
    </row>
    <row r="68" ht="15.75" customHeight="1">
      <c r="H68" s="3"/>
    </row>
    <row r="69" ht="15.75" customHeight="1">
      <c r="H69" s="3"/>
    </row>
    <row r="70" ht="15.75" customHeight="1">
      <c r="H70" s="3"/>
    </row>
    <row r="71" ht="15.75" customHeight="1">
      <c r="H71" s="3"/>
    </row>
    <row r="72" ht="15.75" customHeight="1">
      <c r="H72" s="3"/>
    </row>
    <row r="73" ht="15.75" customHeight="1">
      <c r="H73" s="3"/>
    </row>
    <row r="74" ht="15.75" customHeight="1">
      <c r="H74" s="3"/>
    </row>
    <row r="75" ht="15.75" customHeight="1">
      <c r="H75" s="3"/>
    </row>
    <row r="76" ht="15.75" customHeight="1">
      <c r="H76" s="3"/>
    </row>
    <row r="77" ht="15.75" customHeight="1">
      <c r="H77" s="3"/>
    </row>
    <row r="78" ht="15.75" customHeight="1">
      <c r="H78" s="3"/>
    </row>
    <row r="79" ht="15.75" customHeight="1">
      <c r="H79" s="3"/>
    </row>
    <row r="80" ht="15.75" customHeight="1">
      <c r="H80" s="3"/>
    </row>
    <row r="81" ht="15.75" customHeight="1">
      <c r="H81" s="3"/>
    </row>
    <row r="82" ht="15.75" customHeight="1">
      <c r="H82" s="3"/>
    </row>
    <row r="83" ht="15.75" customHeight="1">
      <c r="H83" s="3"/>
    </row>
    <row r="84" ht="15.75" customHeight="1">
      <c r="H84" s="3"/>
    </row>
    <row r="85" ht="15.75" customHeight="1">
      <c r="H85" s="3"/>
    </row>
    <row r="86" ht="15.75" customHeight="1">
      <c r="H86" s="3"/>
    </row>
    <row r="87" ht="15.75" customHeight="1">
      <c r="H87" s="3"/>
    </row>
    <row r="88" ht="15.75" customHeight="1">
      <c r="H88" s="3"/>
    </row>
    <row r="89" ht="15.75" customHeight="1">
      <c r="H89" s="3"/>
    </row>
    <row r="90" ht="15.75" customHeight="1">
      <c r="H90" s="3"/>
    </row>
    <row r="91" ht="15.75" customHeight="1">
      <c r="H91" s="3"/>
    </row>
    <row r="92" ht="15.75" customHeight="1">
      <c r="H92" s="3"/>
    </row>
    <row r="93" ht="15.75" customHeight="1">
      <c r="H93" s="3"/>
    </row>
    <row r="94" ht="15.75" customHeight="1">
      <c r="H94" s="3"/>
    </row>
    <row r="95" ht="15.75" customHeight="1">
      <c r="H95" s="3"/>
    </row>
    <row r="96" ht="15.75" customHeight="1">
      <c r="H96" s="3"/>
    </row>
    <row r="97" ht="15.75" customHeight="1">
      <c r="H97" s="3"/>
    </row>
    <row r="98" ht="15.75" customHeight="1">
      <c r="H98" s="3"/>
    </row>
    <row r="99" ht="15.75" customHeight="1">
      <c r="H99" s="3"/>
    </row>
    <row r="100" ht="15.75" customHeight="1">
      <c r="H100" s="3"/>
    </row>
    <row r="101" ht="15.75" customHeight="1">
      <c r="H101" s="3"/>
    </row>
    <row r="102" ht="15.75" customHeight="1">
      <c r="H102" s="3"/>
    </row>
    <row r="103" ht="15.75" customHeight="1">
      <c r="H103" s="3"/>
    </row>
    <row r="104" ht="15.75" customHeight="1">
      <c r="H104" s="3"/>
    </row>
    <row r="105" ht="15.75" customHeight="1">
      <c r="H105" s="3"/>
    </row>
    <row r="106" ht="15.75" customHeight="1">
      <c r="H106" s="3"/>
    </row>
    <row r="107" ht="15.75" customHeight="1">
      <c r="H107" s="3"/>
    </row>
    <row r="108" ht="15.75" customHeight="1">
      <c r="H108" s="3"/>
    </row>
    <row r="109" ht="15.75" customHeight="1">
      <c r="H109" s="3"/>
    </row>
    <row r="110" ht="15.75" customHeight="1">
      <c r="H110" s="3"/>
    </row>
    <row r="111" ht="15.75" customHeight="1">
      <c r="H111" s="3"/>
    </row>
    <row r="112" ht="15.75" customHeight="1">
      <c r="H112" s="3"/>
    </row>
    <row r="113" ht="15.75" customHeight="1">
      <c r="H113" s="3"/>
    </row>
    <row r="114" ht="15.75" customHeight="1">
      <c r="H114" s="3"/>
    </row>
    <row r="115" ht="15.75" customHeight="1">
      <c r="H115" s="3"/>
    </row>
    <row r="116" ht="15.75" customHeight="1">
      <c r="H116" s="3"/>
    </row>
    <row r="117" ht="15.75" customHeight="1">
      <c r="H117" s="3"/>
    </row>
    <row r="118" ht="15.75" customHeight="1">
      <c r="H118" s="3"/>
    </row>
    <row r="119" ht="15.75" customHeight="1">
      <c r="H119" s="3"/>
    </row>
    <row r="120" ht="15.75" customHeight="1">
      <c r="H120" s="3"/>
    </row>
    <row r="121" ht="15.75" customHeight="1">
      <c r="H121" s="3"/>
    </row>
    <row r="122" ht="15.75" customHeight="1">
      <c r="H122" s="3"/>
    </row>
    <row r="123" ht="15.75" customHeight="1">
      <c r="H123" s="3"/>
    </row>
    <row r="124" ht="15.75" customHeight="1">
      <c r="H124" s="3"/>
    </row>
    <row r="125" ht="15.75" customHeight="1">
      <c r="H125" s="3"/>
    </row>
    <row r="126" ht="15.75" customHeight="1">
      <c r="H126" s="3"/>
    </row>
    <row r="127" ht="15.75" customHeight="1">
      <c r="H127" s="3"/>
    </row>
    <row r="128" ht="15.75" customHeight="1">
      <c r="H128" s="3"/>
    </row>
    <row r="129" ht="15.75" customHeight="1">
      <c r="H129" s="3"/>
    </row>
    <row r="130" ht="15.75" customHeight="1">
      <c r="H130" s="3"/>
    </row>
    <row r="131" ht="15.75" customHeight="1">
      <c r="H131" s="3"/>
    </row>
    <row r="132" ht="15.75" customHeight="1">
      <c r="H132" s="3"/>
    </row>
    <row r="133" ht="15.75" customHeight="1">
      <c r="H133" s="3"/>
    </row>
    <row r="134" ht="15.75" customHeight="1">
      <c r="H134" s="3"/>
    </row>
    <row r="135" ht="15.75" customHeight="1">
      <c r="H135" s="3"/>
    </row>
    <row r="136" ht="15.75" customHeight="1">
      <c r="H136" s="3"/>
    </row>
    <row r="137" ht="15.75" customHeight="1">
      <c r="H137" s="3"/>
    </row>
    <row r="138" ht="15.75" customHeight="1">
      <c r="H138" s="3"/>
    </row>
    <row r="139" ht="15.75" customHeight="1">
      <c r="H139" s="3"/>
    </row>
    <row r="140" ht="15.75" customHeight="1">
      <c r="H140" s="3"/>
    </row>
    <row r="141" ht="15.75" customHeight="1">
      <c r="H141" s="3"/>
    </row>
    <row r="142" ht="15.75" customHeight="1">
      <c r="H142" s="3"/>
    </row>
    <row r="143" ht="15.75" customHeight="1">
      <c r="H143" s="3"/>
    </row>
    <row r="144" ht="15.75" customHeight="1">
      <c r="H144" s="3"/>
    </row>
    <row r="145" ht="15.75" customHeight="1">
      <c r="H145" s="3"/>
    </row>
    <row r="146" ht="15.75" customHeight="1">
      <c r="H146" s="3"/>
    </row>
    <row r="147" ht="15.75" customHeight="1">
      <c r="H147" s="3"/>
    </row>
    <row r="148" ht="15.75" customHeight="1">
      <c r="H148" s="3"/>
    </row>
    <row r="149" ht="15.75" customHeight="1">
      <c r="H149" s="3"/>
    </row>
    <row r="150" ht="15.75" customHeight="1">
      <c r="H150" s="3"/>
    </row>
    <row r="151" ht="15.75" customHeight="1">
      <c r="H151" s="3"/>
    </row>
    <row r="152" ht="15.75" customHeight="1">
      <c r="H152" s="3"/>
    </row>
    <row r="153" ht="15.75" customHeight="1">
      <c r="H153" s="3"/>
    </row>
    <row r="154" ht="15.75" customHeight="1">
      <c r="H154" s="3"/>
    </row>
    <row r="155" ht="15.75" customHeight="1">
      <c r="H155" s="3"/>
    </row>
    <row r="156" ht="15.75" customHeight="1">
      <c r="H156" s="3"/>
    </row>
    <row r="157" ht="15.75" customHeight="1">
      <c r="H157" s="3"/>
    </row>
    <row r="158" ht="15.75" customHeight="1">
      <c r="H158" s="3"/>
    </row>
    <row r="159" ht="15.75" customHeight="1">
      <c r="H159" s="3"/>
    </row>
    <row r="160" ht="15.75" customHeight="1">
      <c r="H160" s="3"/>
    </row>
    <row r="161" ht="15.75" customHeight="1">
      <c r="H161" s="3"/>
    </row>
    <row r="162" ht="15.75" customHeight="1">
      <c r="H162" s="3"/>
    </row>
    <row r="163" ht="15.75" customHeight="1">
      <c r="H163" s="3"/>
    </row>
    <row r="164" ht="15.75" customHeight="1">
      <c r="H164" s="3"/>
    </row>
    <row r="165" ht="15.75" customHeight="1">
      <c r="H165" s="3"/>
    </row>
    <row r="166" ht="15.75" customHeight="1">
      <c r="H166" s="3"/>
    </row>
    <row r="167" ht="15.75" customHeight="1">
      <c r="H167" s="3"/>
    </row>
    <row r="168" ht="15.75" customHeight="1">
      <c r="H168" s="3"/>
    </row>
    <row r="169" ht="15.75" customHeight="1">
      <c r="H169" s="3"/>
    </row>
    <row r="170" ht="15.75" customHeight="1">
      <c r="H170" s="3"/>
    </row>
    <row r="171" ht="15.75" customHeight="1">
      <c r="H171" s="3"/>
    </row>
    <row r="172" ht="15.75" customHeight="1">
      <c r="H172" s="3"/>
    </row>
    <row r="173" ht="15.75" customHeight="1">
      <c r="H173" s="3"/>
    </row>
    <row r="174" ht="15.75" customHeight="1">
      <c r="H174" s="3"/>
    </row>
    <row r="175" ht="15.75" customHeight="1">
      <c r="H175" s="3"/>
    </row>
    <row r="176" ht="15.75" customHeight="1">
      <c r="H176" s="3"/>
    </row>
    <row r="177" ht="15.75" customHeight="1">
      <c r="H177" s="3"/>
    </row>
    <row r="178" ht="15.75" customHeight="1">
      <c r="H178" s="3"/>
    </row>
    <row r="179" ht="15.75" customHeight="1">
      <c r="H179" s="3"/>
    </row>
    <row r="180" ht="15.75" customHeight="1">
      <c r="H180" s="3"/>
    </row>
    <row r="181" ht="15.75" customHeight="1">
      <c r="H181" s="3"/>
    </row>
    <row r="182" ht="15.75" customHeight="1">
      <c r="H182" s="3"/>
    </row>
    <row r="183" ht="15.75" customHeight="1">
      <c r="H183" s="3"/>
    </row>
    <row r="184" ht="15.75" customHeight="1">
      <c r="H184" s="3"/>
    </row>
    <row r="185" ht="15.75" customHeight="1">
      <c r="H185" s="3"/>
    </row>
    <row r="186" ht="15.75" customHeight="1">
      <c r="H186" s="3"/>
    </row>
    <row r="187" ht="15.75" customHeight="1">
      <c r="H187" s="3"/>
    </row>
    <row r="188" ht="15.75" customHeight="1">
      <c r="H188" s="3"/>
    </row>
    <row r="189" ht="15.75" customHeight="1">
      <c r="H189" s="3"/>
    </row>
    <row r="190" ht="15.75" customHeight="1">
      <c r="H190" s="3"/>
    </row>
    <row r="191" ht="15.75" customHeight="1">
      <c r="H191" s="3"/>
    </row>
    <row r="192" ht="15.75" customHeight="1">
      <c r="H192" s="3"/>
    </row>
    <row r="193" ht="15.75" customHeight="1">
      <c r="H193" s="3"/>
    </row>
    <row r="194" ht="15.75" customHeight="1">
      <c r="H194" s="3"/>
    </row>
    <row r="195" ht="15.75" customHeight="1">
      <c r="H195" s="3"/>
    </row>
    <row r="196" ht="15.75" customHeight="1">
      <c r="H196" s="3"/>
    </row>
    <row r="197" ht="15.75" customHeight="1">
      <c r="H197" s="3"/>
    </row>
    <row r="198" ht="15.75" customHeight="1">
      <c r="H198" s="3"/>
    </row>
    <row r="199" ht="15.75" customHeight="1">
      <c r="H199" s="3"/>
    </row>
    <row r="200" ht="15.75" customHeight="1">
      <c r="H200" s="3"/>
    </row>
    <row r="201" ht="15.75" customHeight="1">
      <c r="H201" s="3"/>
    </row>
    <row r="202" ht="15.75" customHeight="1">
      <c r="H202" s="3"/>
    </row>
    <row r="203" ht="15.75" customHeight="1">
      <c r="H203" s="3"/>
    </row>
    <row r="204" ht="15.75" customHeight="1">
      <c r="H204" s="3"/>
    </row>
    <row r="205" ht="15.75" customHeight="1">
      <c r="H205" s="3"/>
    </row>
    <row r="206" ht="15.75" customHeight="1">
      <c r="H206" s="3"/>
    </row>
    <row r="207" ht="15.75" customHeight="1">
      <c r="H207" s="3"/>
    </row>
    <row r="208" ht="15.75" customHeight="1">
      <c r="H208" s="3"/>
    </row>
    <row r="209" ht="15.75" customHeight="1">
      <c r="H209" s="3"/>
    </row>
    <row r="210" ht="15.75" customHeight="1">
      <c r="H210" s="3"/>
    </row>
    <row r="211" ht="15.75" customHeight="1">
      <c r="H211" s="3"/>
    </row>
    <row r="212" ht="15.75" customHeight="1">
      <c r="H212" s="3"/>
    </row>
    <row r="213" ht="15.75" customHeight="1">
      <c r="H213" s="3"/>
    </row>
    <row r="214" ht="15.75" customHeight="1">
      <c r="H214" s="3"/>
    </row>
    <row r="215" ht="15.75" customHeight="1">
      <c r="H215" s="3"/>
    </row>
    <row r="216" ht="15.75" customHeight="1">
      <c r="H216" s="3"/>
    </row>
    <row r="217" ht="15.75" customHeight="1">
      <c r="H217" s="3"/>
    </row>
    <row r="218" ht="15.75" customHeight="1">
      <c r="H218" s="3"/>
    </row>
    <row r="219" ht="15.75" customHeight="1">
      <c r="H219" s="3"/>
    </row>
    <row r="220" ht="15.75" customHeight="1">
      <c r="H220" s="3"/>
    </row>
    <row r="221" ht="15.75" customHeight="1">
      <c r="H221" s="3"/>
    </row>
    <row r="222" ht="15.75" customHeight="1">
      <c r="H222" s="3"/>
    </row>
    <row r="223" ht="15.75" customHeight="1">
      <c r="H223" s="3"/>
    </row>
    <row r="224" ht="15.75" customHeight="1">
      <c r="H224" s="3"/>
    </row>
    <row r="225" ht="15.75" customHeight="1">
      <c r="H225" s="3"/>
    </row>
    <row r="226" ht="15.75" customHeight="1">
      <c r="H226" s="3"/>
    </row>
    <row r="227" ht="15.75" customHeight="1">
      <c r="H227" s="3"/>
    </row>
    <row r="228" ht="15.75" customHeight="1">
      <c r="H228" s="3"/>
    </row>
    <row r="229" ht="15.75" customHeight="1">
      <c r="H229" s="3"/>
    </row>
    <row r="230" ht="15.75" customHeight="1">
      <c r="H230" s="3"/>
    </row>
    <row r="231" ht="15.75" customHeight="1">
      <c r="H231" s="3"/>
    </row>
    <row r="232" ht="15.75" customHeight="1">
      <c r="H232" s="3"/>
    </row>
    <row r="233" ht="15.75" customHeight="1">
      <c r="H233" s="3"/>
    </row>
    <row r="234" ht="15.75" customHeight="1">
      <c r="H234" s="3"/>
    </row>
    <row r="235" ht="15.75" customHeight="1">
      <c r="H235" s="3"/>
    </row>
    <row r="236" ht="15.75" customHeight="1">
      <c r="H236" s="3"/>
    </row>
    <row r="237" ht="15.75" customHeight="1">
      <c r="H237" s="3"/>
    </row>
    <row r="238" ht="15.75" customHeight="1">
      <c r="H238" s="3"/>
    </row>
    <row r="239" ht="15.75" customHeight="1">
      <c r="H239" s="3"/>
    </row>
    <row r="240" ht="15.75" customHeight="1">
      <c r="H240" s="3"/>
    </row>
    <row r="241" ht="15.75" customHeight="1">
      <c r="H241" s="3"/>
    </row>
    <row r="242" ht="15.75" customHeight="1">
      <c r="H242" s="3"/>
    </row>
    <row r="243" ht="15.75" customHeight="1">
      <c r="H243" s="3"/>
    </row>
    <row r="244" ht="15.75" customHeight="1">
      <c r="H244" s="3"/>
    </row>
    <row r="245" ht="15.75" customHeight="1">
      <c r="H245" s="3"/>
    </row>
    <row r="246" ht="15.75" customHeight="1">
      <c r="H246" s="3"/>
    </row>
    <row r="247" ht="15.75" customHeight="1">
      <c r="H247" s="3"/>
    </row>
    <row r="248" ht="15.75" customHeight="1">
      <c r="H248" s="3"/>
    </row>
    <row r="249" ht="15.75" customHeight="1">
      <c r="H249" s="3"/>
    </row>
    <row r="250" ht="15.75" customHeight="1">
      <c r="H250" s="3"/>
    </row>
    <row r="251" ht="15.75" customHeight="1">
      <c r="H251" s="3"/>
    </row>
    <row r="252" ht="15.75" customHeight="1">
      <c r="H252" s="3"/>
    </row>
    <row r="253" ht="15.75" customHeight="1">
      <c r="H253" s="3"/>
    </row>
    <row r="254" ht="15.75" customHeight="1">
      <c r="H254" s="3"/>
    </row>
    <row r="255" ht="15.75" customHeight="1">
      <c r="H255" s="3"/>
    </row>
    <row r="256" ht="15.75" customHeight="1">
      <c r="H256" s="3"/>
    </row>
    <row r="257" ht="15.75" customHeight="1">
      <c r="H257" s="3"/>
    </row>
    <row r="258" ht="15.75" customHeight="1">
      <c r="H258" s="3"/>
    </row>
    <row r="259" ht="15.75" customHeight="1">
      <c r="H259" s="3"/>
    </row>
    <row r="260" ht="15.75" customHeight="1">
      <c r="H260" s="3"/>
    </row>
    <row r="261" ht="15.75" customHeight="1">
      <c r="H261" s="3"/>
    </row>
    <row r="262" ht="15.75" customHeight="1">
      <c r="H262" s="3"/>
    </row>
    <row r="263" ht="15.75" customHeight="1">
      <c r="H263" s="3"/>
    </row>
    <row r="264" ht="15.75" customHeight="1">
      <c r="H264" s="3"/>
    </row>
    <row r="265" ht="15.75" customHeight="1">
      <c r="H265" s="3"/>
    </row>
    <row r="266" ht="15.75" customHeight="1">
      <c r="H266" s="3"/>
    </row>
    <row r="267" ht="15.75" customHeight="1">
      <c r="H267" s="3"/>
    </row>
    <row r="268" ht="15.75" customHeight="1">
      <c r="H268" s="3"/>
    </row>
    <row r="269" ht="15.75" customHeight="1">
      <c r="H269" s="3"/>
    </row>
    <row r="270" ht="15.75" customHeight="1">
      <c r="H270" s="3"/>
    </row>
    <row r="271" ht="15.75" customHeight="1">
      <c r="H271" s="3"/>
    </row>
    <row r="272" ht="15.75" customHeight="1">
      <c r="H272" s="3"/>
    </row>
    <row r="273" ht="15.75" customHeight="1">
      <c r="H273" s="3"/>
    </row>
    <row r="274" ht="15.75" customHeight="1">
      <c r="H274" s="3"/>
    </row>
    <row r="275" ht="15.75" customHeight="1">
      <c r="H275" s="3"/>
    </row>
    <row r="276" ht="15.75" customHeight="1">
      <c r="H276" s="3"/>
    </row>
    <row r="277" ht="15.75" customHeight="1">
      <c r="H277" s="3"/>
    </row>
    <row r="278" ht="15.75" customHeight="1">
      <c r="H278" s="3"/>
    </row>
    <row r="279" ht="15.75" customHeight="1">
      <c r="H279" s="3"/>
    </row>
    <row r="280" ht="15.75" customHeight="1">
      <c r="H280" s="3"/>
    </row>
    <row r="281" ht="15.75" customHeight="1">
      <c r="H281" s="3"/>
    </row>
    <row r="282" ht="15.75" customHeight="1">
      <c r="H282" s="3"/>
    </row>
    <row r="283" ht="15.75" customHeight="1">
      <c r="H283" s="3"/>
    </row>
    <row r="284" ht="15.75" customHeight="1">
      <c r="H284" s="3"/>
    </row>
    <row r="285" ht="15.75" customHeight="1">
      <c r="H285" s="3"/>
    </row>
    <row r="286" ht="15.75" customHeight="1">
      <c r="H286" s="3"/>
    </row>
    <row r="287" ht="15.75" customHeight="1">
      <c r="H287" s="3"/>
    </row>
    <row r="288" ht="15.75" customHeight="1">
      <c r="H288" s="3"/>
    </row>
    <row r="289" ht="15.75" customHeight="1">
      <c r="H289" s="3"/>
    </row>
    <row r="290" ht="15.75" customHeight="1">
      <c r="H290" s="3"/>
    </row>
    <row r="291" ht="15.75" customHeight="1">
      <c r="H291" s="3"/>
    </row>
    <row r="292" ht="15.75" customHeight="1">
      <c r="H292" s="3"/>
    </row>
    <row r="293" ht="15.75" customHeight="1">
      <c r="H293" s="3"/>
    </row>
    <row r="294" ht="15.75" customHeight="1">
      <c r="H294" s="3"/>
    </row>
    <row r="295" ht="15.75" customHeight="1">
      <c r="H295" s="3"/>
    </row>
    <row r="296" ht="15.75" customHeight="1">
      <c r="H296" s="3"/>
    </row>
    <row r="297" ht="15.75" customHeight="1">
      <c r="H297" s="3"/>
    </row>
    <row r="298" ht="15.75" customHeight="1">
      <c r="H298" s="3"/>
    </row>
    <row r="299" ht="15.75" customHeight="1">
      <c r="H299" s="3"/>
    </row>
    <row r="300" ht="15.75" customHeight="1">
      <c r="H300" s="3"/>
    </row>
    <row r="301" ht="15.75" customHeight="1">
      <c r="H301" s="3"/>
    </row>
    <row r="302" ht="15.75" customHeight="1">
      <c r="H302" s="3"/>
    </row>
    <row r="303" ht="15.75" customHeight="1">
      <c r="H303" s="3"/>
    </row>
    <row r="304" ht="15.75" customHeight="1">
      <c r="H304" s="3"/>
    </row>
    <row r="305" ht="15.75" customHeight="1">
      <c r="H305" s="3"/>
    </row>
    <row r="306" ht="15.75" customHeight="1">
      <c r="H306" s="3"/>
    </row>
    <row r="307" ht="15.75" customHeight="1">
      <c r="H307" s="3"/>
    </row>
    <row r="308" ht="15.75" customHeight="1">
      <c r="H308" s="3"/>
    </row>
    <row r="309" ht="15.75" customHeight="1">
      <c r="H309" s="3"/>
    </row>
    <row r="310" ht="15.75" customHeight="1">
      <c r="H310" s="3"/>
    </row>
    <row r="311" ht="15.75" customHeight="1">
      <c r="H311" s="3"/>
    </row>
    <row r="312" ht="15.75" customHeight="1">
      <c r="H312" s="3"/>
    </row>
    <row r="313" ht="15.75" customHeight="1">
      <c r="H313" s="3"/>
    </row>
    <row r="314" ht="15.75" customHeight="1">
      <c r="H314" s="3"/>
    </row>
    <row r="315" ht="15.75" customHeight="1">
      <c r="H315" s="3"/>
    </row>
    <row r="316" ht="15.75" customHeight="1">
      <c r="H316" s="3"/>
    </row>
    <row r="317" ht="15.75" customHeight="1">
      <c r="H317" s="3"/>
    </row>
    <row r="318" ht="15.75" customHeight="1">
      <c r="H318" s="3"/>
    </row>
    <row r="319" ht="15.75" customHeight="1">
      <c r="H319" s="3"/>
    </row>
    <row r="320" ht="15.75" customHeight="1">
      <c r="H320" s="3"/>
    </row>
    <row r="321" ht="15.75" customHeight="1">
      <c r="H321" s="3"/>
    </row>
    <row r="322" ht="15.75" customHeight="1">
      <c r="H322" s="3"/>
    </row>
    <row r="323" ht="15.75" customHeight="1">
      <c r="H323" s="3"/>
    </row>
    <row r="324" ht="15.75" customHeight="1">
      <c r="H324" s="3"/>
    </row>
    <row r="325" ht="15.75" customHeight="1">
      <c r="H325" s="3"/>
    </row>
    <row r="326" ht="15.75" customHeight="1">
      <c r="H326" s="3"/>
    </row>
    <row r="327" ht="15.75" customHeight="1">
      <c r="H327" s="3"/>
    </row>
    <row r="328" ht="15.75" customHeight="1">
      <c r="H328" s="3"/>
    </row>
    <row r="329" ht="15.75" customHeight="1">
      <c r="H329" s="3"/>
    </row>
    <row r="330" ht="15.75" customHeight="1">
      <c r="H330" s="3"/>
    </row>
    <row r="331" ht="15.75" customHeight="1">
      <c r="H331" s="3"/>
    </row>
    <row r="332" ht="15.75" customHeight="1">
      <c r="H332" s="3"/>
    </row>
    <row r="333" ht="15.75" customHeight="1">
      <c r="H333" s="3"/>
    </row>
    <row r="334" ht="15.75" customHeight="1">
      <c r="H334" s="3"/>
    </row>
    <row r="335" ht="15.75" customHeight="1">
      <c r="H335" s="3"/>
    </row>
    <row r="336" ht="15.75" customHeight="1">
      <c r="H336" s="3"/>
    </row>
    <row r="337" ht="15.75" customHeight="1">
      <c r="H337" s="3"/>
    </row>
    <row r="338" ht="15.75" customHeight="1">
      <c r="H338" s="3"/>
    </row>
    <row r="339" ht="15.75" customHeight="1">
      <c r="H339" s="3"/>
    </row>
    <row r="340" ht="15.75" customHeight="1">
      <c r="H340" s="3"/>
    </row>
    <row r="341" ht="15.75" customHeight="1">
      <c r="H341" s="3"/>
    </row>
    <row r="342" ht="15.75" customHeight="1">
      <c r="H342" s="3"/>
    </row>
    <row r="343" ht="15.75" customHeight="1">
      <c r="H343" s="3"/>
    </row>
    <row r="344" ht="15.75" customHeight="1">
      <c r="H344" s="3"/>
    </row>
    <row r="345" ht="15.75" customHeight="1">
      <c r="H345" s="3"/>
    </row>
    <row r="346" ht="15.75" customHeight="1">
      <c r="H346" s="3"/>
    </row>
    <row r="347" ht="15.75" customHeight="1">
      <c r="H347" s="3"/>
    </row>
    <row r="348" ht="15.75" customHeight="1">
      <c r="H348" s="3"/>
    </row>
    <row r="349" ht="15.75" customHeight="1">
      <c r="H349" s="3"/>
    </row>
    <row r="350" ht="15.75" customHeight="1">
      <c r="H350" s="3"/>
    </row>
    <row r="351" ht="15.75" customHeight="1">
      <c r="H351" s="3"/>
    </row>
    <row r="352" ht="15.75" customHeight="1">
      <c r="H352" s="3"/>
    </row>
    <row r="353" ht="15.75" customHeight="1">
      <c r="H353" s="3"/>
    </row>
    <row r="354" ht="15.75" customHeight="1">
      <c r="H354" s="3"/>
    </row>
    <row r="355" ht="15.75" customHeight="1">
      <c r="H355" s="3"/>
    </row>
    <row r="356" ht="15.75" customHeight="1">
      <c r="H356" s="3"/>
    </row>
    <row r="357" ht="15.75" customHeight="1">
      <c r="H357" s="3"/>
    </row>
    <row r="358" ht="15.75" customHeight="1">
      <c r="H358" s="3"/>
    </row>
    <row r="359" ht="15.75" customHeight="1">
      <c r="H359" s="3"/>
    </row>
    <row r="360" ht="15.75" customHeight="1">
      <c r="H360" s="3"/>
    </row>
    <row r="361" ht="15.75" customHeight="1">
      <c r="H361" s="3"/>
    </row>
    <row r="362" ht="15.75" customHeight="1">
      <c r="H362" s="3"/>
    </row>
    <row r="363" ht="15.75" customHeight="1">
      <c r="H363" s="3"/>
    </row>
    <row r="364" ht="15.75" customHeight="1">
      <c r="H364" s="3"/>
    </row>
    <row r="365" ht="15.75" customHeight="1">
      <c r="H365" s="3"/>
    </row>
    <row r="366" ht="15.75" customHeight="1">
      <c r="H366" s="3"/>
    </row>
    <row r="367" ht="15.75" customHeight="1">
      <c r="H367" s="3"/>
    </row>
    <row r="368" ht="15.75" customHeight="1">
      <c r="H368" s="3"/>
    </row>
    <row r="369" ht="15.75" customHeight="1">
      <c r="H369" s="3"/>
    </row>
    <row r="370" ht="15.75" customHeight="1">
      <c r="H370" s="3"/>
    </row>
    <row r="371" ht="15.75" customHeight="1">
      <c r="H371" s="3"/>
    </row>
    <row r="372" ht="15.75" customHeight="1">
      <c r="H372" s="3"/>
    </row>
    <row r="373" ht="15.75" customHeight="1">
      <c r="H373" s="3"/>
    </row>
    <row r="374" ht="15.75" customHeight="1">
      <c r="H374" s="3"/>
    </row>
    <row r="375" ht="15.75" customHeight="1">
      <c r="H375" s="3"/>
    </row>
    <row r="376" ht="15.75" customHeight="1">
      <c r="H376" s="3"/>
    </row>
    <row r="377" ht="15.75" customHeight="1">
      <c r="H377" s="3"/>
    </row>
    <row r="378" ht="15.75" customHeight="1">
      <c r="H378" s="3"/>
    </row>
    <row r="379" ht="15.75" customHeight="1">
      <c r="H379" s="3"/>
    </row>
    <row r="380" ht="15.75" customHeight="1">
      <c r="H380" s="3"/>
    </row>
    <row r="381" ht="15.75" customHeight="1">
      <c r="H381" s="3"/>
    </row>
    <row r="382" ht="15.75" customHeight="1">
      <c r="H382" s="3"/>
    </row>
    <row r="383" ht="15.75" customHeight="1">
      <c r="H383" s="3"/>
    </row>
    <row r="384" ht="15.75" customHeight="1">
      <c r="H384" s="3"/>
    </row>
    <row r="385" ht="15.75" customHeight="1">
      <c r="H385" s="3"/>
    </row>
    <row r="386" ht="15.75" customHeight="1">
      <c r="H386" s="3"/>
    </row>
    <row r="387" ht="15.75" customHeight="1">
      <c r="H387" s="3"/>
    </row>
    <row r="388" ht="15.75" customHeight="1">
      <c r="H388" s="3"/>
    </row>
    <row r="389" ht="15.75" customHeight="1">
      <c r="H389" s="3"/>
    </row>
    <row r="390" ht="15.75" customHeight="1">
      <c r="H390" s="3"/>
    </row>
    <row r="391" ht="15.75" customHeight="1">
      <c r="H391" s="3"/>
    </row>
    <row r="392" ht="15.75" customHeight="1">
      <c r="H392" s="3"/>
    </row>
    <row r="393" ht="15.75" customHeight="1">
      <c r="H393" s="3"/>
    </row>
    <row r="394" ht="15.75" customHeight="1">
      <c r="H394" s="3"/>
    </row>
    <row r="395" ht="15.75" customHeight="1">
      <c r="H395" s="3"/>
    </row>
    <row r="396" ht="15.75" customHeight="1">
      <c r="H396" s="3"/>
    </row>
    <row r="397" ht="15.75" customHeight="1">
      <c r="H397" s="3"/>
    </row>
    <row r="398" ht="15.75" customHeight="1">
      <c r="H398" s="3"/>
    </row>
    <row r="399" ht="15.75" customHeight="1">
      <c r="H399" s="3"/>
    </row>
    <row r="400" ht="15.75" customHeight="1">
      <c r="H400" s="3"/>
    </row>
    <row r="401" ht="15.75" customHeight="1">
      <c r="H401" s="3"/>
    </row>
    <row r="402" ht="15.75" customHeight="1">
      <c r="H402" s="3"/>
    </row>
    <row r="403" ht="15.75" customHeight="1">
      <c r="H403" s="3"/>
    </row>
    <row r="404" ht="15.75" customHeight="1">
      <c r="H404" s="3"/>
    </row>
    <row r="405" ht="15.75" customHeight="1">
      <c r="H405" s="3"/>
    </row>
    <row r="406" ht="15.75" customHeight="1">
      <c r="H406" s="3"/>
    </row>
    <row r="407" ht="15.75" customHeight="1">
      <c r="H407" s="3"/>
    </row>
    <row r="408" ht="15.75" customHeight="1">
      <c r="H408" s="3"/>
    </row>
    <row r="409" ht="15.75" customHeight="1">
      <c r="H409" s="3"/>
    </row>
    <row r="410" ht="15.75" customHeight="1">
      <c r="H410" s="3"/>
    </row>
    <row r="411" ht="15.75" customHeight="1">
      <c r="H411" s="3"/>
    </row>
    <row r="412" ht="15.75" customHeight="1">
      <c r="H412" s="3"/>
    </row>
    <row r="413" ht="15.75" customHeight="1">
      <c r="H413" s="3"/>
    </row>
    <row r="414" ht="15.75" customHeight="1">
      <c r="H414" s="3"/>
    </row>
    <row r="415" ht="15.75" customHeight="1">
      <c r="H415" s="3"/>
    </row>
    <row r="416" ht="15.75" customHeight="1">
      <c r="H416" s="3"/>
    </row>
    <row r="417" ht="15.75" customHeight="1">
      <c r="H417" s="3"/>
    </row>
    <row r="418" ht="15.75" customHeight="1">
      <c r="H418" s="3"/>
    </row>
    <row r="419" ht="15.75" customHeight="1">
      <c r="H419" s="3"/>
    </row>
    <row r="420" ht="15.75" customHeight="1">
      <c r="H420" s="3"/>
    </row>
    <row r="421" ht="15.75" customHeight="1">
      <c r="H421" s="3"/>
    </row>
    <row r="422" ht="15.75" customHeight="1">
      <c r="H422" s="3"/>
    </row>
    <row r="423" ht="15.75" customHeight="1">
      <c r="H423" s="3"/>
    </row>
    <row r="424" ht="15.75" customHeight="1">
      <c r="H424" s="3"/>
    </row>
    <row r="425" ht="15.75" customHeight="1">
      <c r="H425" s="3"/>
    </row>
    <row r="426" ht="15.75" customHeight="1">
      <c r="H426" s="3"/>
    </row>
    <row r="427" ht="15.75" customHeight="1">
      <c r="H427" s="3"/>
    </row>
    <row r="428" ht="15.75" customHeight="1">
      <c r="H428" s="3"/>
    </row>
    <row r="429" ht="15.75" customHeight="1">
      <c r="H429" s="3"/>
    </row>
    <row r="430" ht="15.75" customHeight="1">
      <c r="H430" s="3"/>
    </row>
    <row r="431" ht="15.75" customHeight="1">
      <c r="H431" s="3"/>
    </row>
    <row r="432" ht="15.75" customHeight="1">
      <c r="H432" s="3"/>
    </row>
    <row r="433" ht="15.75" customHeight="1">
      <c r="H433" s="3"/>
    </row>
    <row r="434" ht="15.75" customHeight="1">
      <c r="H434" s="3"/>
    </row>
    <row r="435" ht="15.75" customHeight="1">
      <c r="H435" s="3"/>
    </row>
    <row r="436" ht="15.75" customHeight="1">
      <c r="H436" s="3"/>
    </row>
    <row r="437" ht="15.75" customHeight="1">
      <c r="H437" s="3"/>
    </row>
    <row r="438" ht="15.75" customHeight="1">
      <c r="H438" s="3"/>
    </row>
    <row r="439" ht="15.75" customHeight="1">
      <c r="H439" s="3"/>
    </row>
    <row r="440" ht="15.75" customHeight="1">
      <c r="H440" s="3"/>
    </row>
    <row r="441" ht="15.75" customHeight="1">
      <c r="H441" s="3"/>
    </row>
    <row r="442" ht="15.75" customHeight="1">
      <c r="H442" s="3"/>
    </row>
    <row r="443" ht="15.75" customHeight="1">
      <c r="H443" s="3"/>
    </row>
    <row r="444" ht="15.75" customHeight="1">
      <c r="H444" s="3"/>
    </row>
    <row r="445" ht="15.75" customHeight="1">
      <c r="H445" s="3"/>
    </row>
    <row r="446" ht="15.75" customHeight="1">
      <c r="H446" s="3"/>
    </row>
    <row r="447" ht="15.75" customHeight="1">
      <c r="H447" s="3"/>
    </row>
    <row r="448" ht="15.75" customHeight="1">
      <c r="H448" s="3"/>
    </row>
    <row r="449" ht="15.75" customHeight="1">
      <c r="H449" s="3"/>
    </row>
    <row r="450" ht="15.75" customHeight="1">
      <c r="H450" s="3"/>
    </row>
    <row r="451" ht="15.75" customHeight="1">
      <c r="H451" s="3"/>
    </row>
    <row r="452" ht="15.75" customHeight="1">
      <c r="H452" s="3"/>
    </row>
    <row r="453" ht="15.75" customHeight="1">
      <c r="H453" s="3"/>
    </row>
    <row r="454" ht="15.75" customHeight="1">
      <c r="H454" s="3"/>
    </row>
    <row r="455" ht="15.75" customHeight="1">
      <c r="H455" s="3"/>
    </row>
    <row r="456" ht="15.75" customHeight="1">
      <c r="H456" s="3"/>
    </row>
    <row r="457" ht="15.75" customHeight="1">
      <c r="H457" s="3"/>
    </row>
    <row r="458" ht="15.75" customHeight="1">
      <c r="H458" s="3"/>
    </row>
    <row r="459" ht="15.75" customHeight="1">
      <c r="H459" s="3"/>
    </row>
    <row r="460" ht="15.75" customHeight="1">
      <c r="H460" s="3"/>
    </row>
    <row r="461" ht="15.75" customHeight="1">
      <c r="H461" s="3"/>
    </row>
    <row r="462" ht="15.75" customHeight="1">
      <c r="H462" s="3"/>
    </row>
    <row r="463" ht="15.75" customHeight="1">
      <c r="H463" s="3"/>
    </row>
    <row r="464" ht="15.75" customHeight="1">
      <c r="H464" s="3"/>
    </row>
    <row r="465" ht="15.75" customHeight="1">
      <c r="H465" s="3"/>
    </row>
    <row r="466" ht="15.75" customHeight="1">
      <c r="H466" s="3"/>
    </row>
    <row r="467" ht="15.75" customHeight="1">
      <c r="H467" s="3"/>
    </row>
    <row r="468" ht="15.75" customHeight="1">
      <c r="H468" s="3"/>
    </row>
    <row r="469" ht="15.75" customHeight="1">
      <c r="H469" s="3"/>
    </row>
    <row r="470" ht="15.75" customHeight="1">
      <c r="H470" s="3"/>
    </row>
    <row r="471" ht="15.75" customHeight="1">
      <c r="H471" s="3"/>
    </row>
    <row r="472" ht="15.75" customHeight="1">
      <c r="H472" s="3"/>
    </row>
    <row r="473" ht="15.75" customHeight="1">
      <c r="H473" s="3"/>
    </row>
    <row r="474" ht="15.75" customHeight="1">
      <c r="H474" s="3"/>
    </row>
    <row r="475" ht="15.75" customHeight="1">
      <c r="H475" s="3"/>
    </row>
    <row r="476" ht="15.75" customHeight="1">
      <c r="H476" s="3"/>
    </row>
    <row r="477" ht="15.75" customHeight="1">
      <c r="H477" s="3"/>
    </row>
    <row r="478" ht="15.75" customHeight="1">
      <c r="H478" s="3"/>
    </row>
    <row r="479" ht="15.75" customHeight="1">
      <c r="H479" s="3"/>
    </row>
    <row r="480" ht="15.75" customHeight="1">
      <c r="H480" s="3"/>
    </row>
    <row r="481" ht="15.75" customHeight="1">
      <c r="H481" s="3"/>
    </row>
    <row r="482" ht="15.75" customHeight="1">
      <c r="H482" s="3"/>
    </row>
    <row r="483" ht="15.75" customHeight="1">
      <c r="H483" s="3"/>
    </row>
    <row r="484" ht="15.75" customHeight="1">
      <c r="H484" s="3"/>
    </row>
    <row r="485" ht="15.75" customHeight="1">
      <c r="H485" s="3"/>
    </row>
    <row r="486" ht="15.75" customHeight="1">
      <c r="H486" s="3"/>
    </row>
    <row r="487" ht="15.75" customHeight="1">
      <c r="H487" s="3"/>
    </row>
    <row r="488" ht="15.75" customHeight="1">
      <c r="H488" s="3"/>
    </row>
    <row r="489" ht="15.75" customHeight="1">
      <c r="H489" s="3"/>
    </row>
    <row r="490" ht="15.75" customHeight="1">
      <c r="H490" s="3"/>
    </row>
    <row r="491" ht="15.75" customHeight="1">
      <c r="H491" s="3"/>
    </row>
    <row r="492" ht="15.75" customHeight="1">
      <c r="H492" s="3"/>
    </row>
    <row r="493" ht="15.75" customHeight="1">
      <c r="H493" s="3"/>
    </row>
    <row r="494" ht="15.75" customHeight="1">
      <c r="H494" s="3"/>
    </row>
    <row r="495" ht="15.75" customHeight="1">
      <c r="H495" s="3"/>
    </row>
    <row r="496" ht="15.75" customHeight="1">
      <c r="H496" s="3"/>
    </row>
    <row r="497" ht="15.75" customHeight="1">
      <c r="H497" s="3"/>
    </row>
    <row r="498" ht="15.75" customHeight="1">
      <c r="H498" s="3"/>
    </row>
    <row r="499" ht="15.75" customHeight="1">
      <c r="H499" s="3"/>
    </row>
    <row r="500" ht="15.75" customHeight="1">
      <c r="H500" s="3"/>
    </row>
    <row r="501" ht="15.75" customHeight="1">
      <c r="H501" s="3"/>
    </row>
    <row r="502" ht="15.75" customHeight="1">
      <c r="H502" s="3"/>
    </row>
    <row r="503" ht="15.75" customHeight="1">
      <c r="H503" s="3"/>
    </row>
    <row r="504" ht="15.75" customHeight="1">
      <c r="H504" s="3"/>
    </row>
    <row r="505" ht="15.75" customHeight="1">
      <c r="H505" s="3"/>
    </row>
    <row r="506" ht="15.75" customHeight="1">
      <c r="H506" s="3"/>
    </row>
    <row r="507" ht="15.75" customHeight="1">
      <c r="H507" s="3"/>
    </row>
    <row r="508" ht="15.75" customHeight="1">
      <c r="H508" s="3"/>
    </row>
    <row r="509" ht="15.75" customHeight="1">
      <c r="H509" s="3"/>
    </row>
    <row r="510" ht="15.75" customHeight="1">
      <c r="H510" s="3"/>
    </row>
    <row r="511" ht="15.75" customHeight="1">
      <c r="H511" s="3"/>
    </row>
    <row r="512" ht="15.75" customHeight="1">
      <c r="H512" s="3"/>
    </row>
    <row r="513" ht="15.75" customHeight="1">
      <c r="H513" s="3"/>
    </row>
    <row r="514" ht="15.75" customHeight="1">
      <c r="H514" s="3"/>
    </row>
    <row r="515" ht="15.75" customHeight="1">
      <c r="H515" s="3"/>
    </row>
    <row r="516" ht="15.75" customHeight="1">
      <c r="H516" s="3"/>
    </row>
    <row r="517" ht="15.75" customHeight="1">
      <c r="H517" s="3"/>
    </row>
    <row r="518" ht="15.75" customHeight="1">
      <c r="H518" s="3"/>
    </row>
    <row r="519" ht="15.75" customHeight="1">
      <c r="H519" s="3"/>
    </row>
    <row r="520" ht="15.75" customHeight="1">
      <c r="H520" s="3"/>
    </row>
    <row r="521" ht="15.75" customHeight="1">
      <c r="H521" s="3"/>
    </row>
    <row r="522" ht="15.75" customHeight="1">
      <c r="H522" s="3"/>
    </row>
    <row r="523" ht="15.75" customHeight="1">
      <c r="H523" s="3"/>
    </row>
    <row r="524" ht="15.75" customHeight="1">
      <c r="H524" s="3"/>
    </row>
    <row r="525" ht="15.75" customHeight="1">
      <c r="H525" s="3"/>
    </row>
    <row r="526" ht="15.75" customHeight="1">
      <c r="H526" s="3"/>
    </row>
    <row r="527" ht="15.75" customHeight="1">
      <c r="H527" s="3"/>
    </row>
    <row r="528" ht="15.75" customHeight="1">
      <c r="H528" s="3"/>
    </row>
    <row r="529" ht="15.75" customHeight="1">
      <c r="H529" s="3"/>
    </row>
    <row r="530" ht="15.75" customHeight="1">
      <c r="H530" s="3"/>
    </row>
    <row r="531" ht="15.75" customHeight="1">
      <c r="H531" s="3"/>
    </row>
    <row r="532" ht="15.75" customHeight="1">
      <c r="H532" s="3"/>
    </row>
    <row r="533" ht="15.75" customHeight="1">
      <c r="H533" s="3"/>
    </row>
    <row r="534" ht="15.75" customHeight="1">
      <c r="H534" s="3"/>
    </row>
    <row r="535" ht="15.75" customHeight="1">
      <c r="H535" s="3"/>
    </row>
    <row r="536" ht="15.75" customHeight="1">
      <c r="H536" s="3"/>
    </row>
    <row r="537" ht="15.75" customHeight="1">
      <c r="H537" s="3"/>
    </row>
    <row r="538" ht="15.75" customHeight="1">
      <c r="H538" s="3"/>
    </row>
    <row r="539" ht="15.75" customHeight="1">
      <c r="H539" s="3"/>
    </row>
    <row r="540" ht="15.75" customHeight="1">
      <c r="H540" s="3"/>
    </row>
    <row r="541" ht="15.75" customHeight="1">
      <c r="H541" s="3"/>
    </row>
    <row r="542" ht="15.75" customHeight="1">
      <c r="H542" s="3"/>
    </row>
    <row r="543" ht="15.75" customHeight="1">
      <c r="H543" s="3"/>
    </row>
    <row r="544" ht="15.75" customHeight="1">
      <c r="H544" s="3"/>
    </row>
    <row r="545" ht="15.75" customHeight="1">
      <c r="H545" s="3"/>
    </row>
    <row r="546" ht="15.75" customHeight="1">
      <c r="H546" s="3"/>
    </row>
    <row r="547" ht="15.75" customHeight="1">
      <c r="H547" s="3"/>
    </row>
    <row r="548" ht="15.75" customHeight="1">
      <c r="H548" s="3"/>
    </row>
    <row r="549" ht="15.75" customHeight="1">
      <c r="H549" s="3"/>
    </row>
    <row r="550" ht="15.75" customHeight="1">
      <c r="H550" s="3"/>
    </row>
    <row r="551" ht="15.75" customHeight="1">
      <c r="H551" s="3"/>
    </row>
    <row r="552" ht="15.75" customHeight="1">
      <c r="H552" s="3"/>
    </row>
    <row r="553" ht="15.75" customHeight="1">
      <c r="H553" s="3"/>
    </row>
    <row r="554" ht="15.75" customHeight="1">
      <c r="H554" s="3"/>
    </row>
    <row r="555" ht="15.75" customHeight="1">
      <c r="H555" s="3"/>
    </row>
    <row r="556" ht="15.75" customHeight="1">
      <c r="H556" s="3"/>
    </row>
    <row r="557" ht="15.75" customHeight="1">
      <c r="H557" s="3"/>
    </row>
    <row r="558" ht="15.75" customHeight="1">
      <c r="H558" s="3"/>
    </row>
    <row r="559" ht="15.75" customHeight="1">
      <c r="H559" s="3"/>
    </row>
    <row r="560" ht="15.75" customHeight="1">
      <c r="H560" s="3"/>
    </row>
    <row r="561" ht="15.75" customHeight="1">
      <c r="H561" s="3"/>
    </row>
    <row r="562" ht="15.75" customHeight="1">
      <c r="H562" s="3"/>
    </row>
    <row r="563" ht="15.75" customHeight="1">
      <c r="H563" s="3"/>
    </row>
    <row r="564" ht="15.75" customHeight="1">
      <c r="H564" s="3"/>
    </row>
    <row r="565" ht="15.75" customHeight="1">
      <c r="H565" s="3"/>
    </row>
    <row r="566" ht="15.75" customHeight="1">
      <c r="H566" s="3"/>
    </row>
    <row r="567" ht="15.75" customHeight="1">
      <c r="H567" s="3"/>
    </row>
    <row r="568" ht="15.75" customHeight="1">
      <c r="H568" s="3"/>
    </row>
    <row r="569" ht="15.75" customHeight="1">
      <c r="H569" s="3"/>
    </row>
    <row r="570" ht="15.75" customHeight="1">
      <c r="H570" s="3"/>
    </row>
    <row r="571" ht="15.75" customHeight="1">
      <c r="H571" s="3"/>
    </row>
    <row r="572" ht="15.75" customHeight="1">
      <c r="H572" s="3"/>
    </row>
    <row r="573" ht="15.75" customHeight="1">
      <c r="H573" s="3"/>
    </row>
    <row r="574" ht="15.75" customHeight="1">
      <c r="H574" s="3"/>
    </row>
    <row r="575" ht="15.75" customHeight="1">
      <c r="H575" s="3"/>
    </row>
    <row r="576" ht="15.75" customHeight="1">
      <c r="H576" s="3"/>
    </row>
    <row r="577" ht="15.75" customHeight="1">
      <c r="H577" s="3"/>
    </row>
    <row r="578" ht="15.75" customHeight="1">
      <c r="H578" s="3"/>
    </row>
    <row r="579" ht="15.75" customHeight="1">
      <c r="H579" s="3"/>
    </row>
    <row r="580" ht="15.75" customHeight="1">
      <c r="H580" s="3"/>
    </row>
    <row r="581" ht="15.75" customHeight="1">
      <c r="H581" s="3"/>
    </row>
    <row r="582" ht="15.75" customHeight="1">
      <c r="H582" s="3"/>
    </row>
    <row r="583" ht="15.75" customHeight="1">
      <c r="H583" s="3"/>
    </row>
    <row r="584" ht="15.75" customHeight="1">
      <c r="H584" s="3"/>
    </row>
    <row r="585" ht="15.75" customHeight="1">
      <c r="H585" s="3"/>
    </row>
    <row r="586" ht="15.75" customHeight="1">
      <c r="H586" s="3"/>
    </row>
    <row r="587" ht="15.75" customHeight="1">
      <c r="H587" s="3"/>
    </row>
    <row r="588" ht="15.75" customHeight="1">
      <c r="H588" s="3"/>
    </row>
    <row r="589" ht="15.75" customHeight="1">
      <c r="H589" s="3"/>
    </row>
    <row r="590" ht="15.75" customHeight="1">
      <c r="H590" s="3"/>
    </row>
    <row r="591" ht="15.75" customHeight="1">
      <c r="H591" s="3"/>
    </row>
    <row r="592" ht="15.75" customHeight="1">
      <c r="H592" s="3"/>
    </row>
    <row r="593" ht="15.75" customHeight="1">
      <c r="H593" s="3"/>
    </row>
    <row r="594" ht="15.75" customHeight="1">
      <c r="H594" s="3"/>
    </row>
    <row r="595" ht="15.75" customHeight="1">
      <c r="H595" s="3"/>
    </row>
    <row r="596" ht="15.75" customHeight="1">
      <c r="H596" s="3"/>
    </row>
    <row r="597" ht="15.75" customHeight="1">
      <c r="H597" s="3"/>
    </row>
    <row r="598" ht="15.75" customHeight="1">
      <c r="H598" s="3"/>
    </row>
    <row r="599" ht="15.75" customHeight="1">
      <c r="H599" s="3"/>
    </row>
    <row r="600" ht="15.75" customHeight="1">
      <c r="H600" s="3"/>
    </row>
    <row r="601" ht="15.75" customHeight="1">
      <c r="H601" s="3"/>
    </row>
    <row r="602" ht="15.75" customHeight="1">
      <c r="H602" s="3"/>
    </row>
    <row r="603" ht="15.75" customHeight="1">
      <c r="H603" s="3"/>
    </row>
    <row r="604" ht="15.75" customHeight="1">
      <c r="H604" s="3"/>
    </row>
    <row r="605" ht="15.75" customHeight="1">
      <c r="H605" s="3"/>
    </row>
    <row r="606" ht="15.75" customHeight="1">
      <c r="H606" s="3"/>
    </row>
    <row r="607" ht="15.75" customHeight="1">
      <c r="H607" s="3"/>
    </row>
    <row r="608" ht="15.75" customHeight="1">
      <c r="H608" s="3"/>
    </row>
    <row r="609" ht="15.75" customHeight="1">
      <c r="H609" s="3"/>
    </row>
    <row r="610" ht="15.75" customHeight="1">
      <c r="H610" s="3"/>
    </row>
    <row r="611" ht="15.75" customHeight="1">
      <c r="H611" s="3"/>
    </row>
    <row r="612" ht="15.75" customHeight="1">
      <c r="H612" s="3"/>
    </row>
    <row r="613" ht="15.75" customHeight="1">
      <c r="H613" s="3"/>
    </row>
    <row r="614" ht="15.75" customHeight="1">
      <c r="H614" s="3"/>
    </row>
    <row r="615" ht="15.75" customHeight="1">
      <c r="H615" s="3"/>
    </row>
    <row r="616" ht="15.75" customHeight="1">
      <c r="H616" s="3"/>
    </row>
    <row r="617" ht="15.75" customHeight="1">
      <c r="H617" s="3"/>
    </row>
    <row r="618" ht="15.75" customHeight="1">
      <c r="H618" s="3"/>
    </row>
    <row r="619" ht="15.75" customHeight="1">
      <c r="H619" s="3"/>
    </row>
    <row r="620" ht="15.75" customHeight="1">
      <c r="H620" s="3"/>
    </row>
    <row r="621" ht="15.75" customHeight="1">
      <c r="H621" s="3"/>
    </row>
    <row r="622" ht="15.75" customHeight="1">
      <c r="H622" s="3"/>
    </row>
    <row r="623" ht="15.75" customHeight="1">
      <c r="H623" s="3"/>
    </row>
    <row r="624" ht="15.75" customHeight="1">
      <c r="H624" s="3"/>
    </row>
    <row r="625" ht="15.75" customHeight="1">
      <c r="H625" s="3"/>
    </row>
    <row r="626" ht="15.75" customHeight="1">
      <c r="H626" s="3"/>
    </row>
    <row r="627" ht="15.75" customHeight="1">
      <c r="H627" s="3"/>
    </row>
    <row r="628" ht="15.75" customHeight="1">
      <c r="H628" s="3"/>
    </row>
    <row r="629" ht="15.75" customHeight="1">
      <c r="H629" s="3"/>
    </row>
    <row r="630" ht="15.75" customHeight="1">
      <c r="H630" s="3"/>
    </row>
    <row r="631" ht="15.75" customHeight="1">
      <c r="H631" s="3"/>
    </row>
    <row r="632" ht="15.75" customHeight="1">
      <c r="H632" s="3"/>
    </row>
    <row r="633" ht="15.75" customHeight="1">
      <c r="H633" s="3"/>
    </row>
    <row r="634" ht="15.75" customHeight="1">
      <c r="H634" s="3"/>
    </row>
    <row r="635" ht="15.75" customHeight="1">
      <c r="H635" s="3"/>
    </row>
    <row r="636" ht="15.75" customHeight="1">
      <c r="H636" s="3"/>
    </row>
    <row r="637" ht="15.75" customHeight="1">
      <c r="H637" s="3"/>
    </row>
    <row r="638" ht="15.75" customHeight="1">
      <c r="H638" s="3"/>
    </row>
    <row r="639" ht="15.75" customHeight="1">
      <c r="H639" s="3"/>
    </row>
    <row r="640" ht="15.75" customHeight="1">
      <c r="H640" s="3"/>
    </row>
    <row r="641" ht="15.75" customHeight="1">
      <c r="H641" s="3"/>
    </row>
    <row r="642" ht="15.75" customHeight="1">
      <c r="H642" s="3"/>
    </row>
    <row r="643" ht="15.75" customHeight="1">
      <c r="H643" s="3"/>
    </row>
    <row r="644" ht="15.75" customHeight="1">
      <c r="H644" s="3"/>
    </row>
    <row r="645" ht="15.75" customHeight="1">
      <c r="H645" s="3"/>
    </row>
    <row r="646" ht="15.75" customHeight="1">
      <c r="H646" s="3"/>
    </row>
    <row r="647" ht="15.75" customHeight="1">
      <c r="H647" s="3"/>
    </row>
    <row r="648" ht="15.75" customHeight="1">
      <c r="H648" s="3"/>
    </row>
    <row r="649" ht="15.75" customHeight="1">
      <c r="H649" s="3"/>
    </row>
    <row r="650" ht="15.75" customHeight="1">
      <c r="H650" s="3"/>
    </row>
    <row r="651" ht="15.75" customHeight="1">
      <c r="H651" s="3"/>
    </row>
    <row r="652" ht="15.75" customHeight="1">
      <c r="H652" s="3"/>
    </row>
    <row r="653" ht="15.75" customHeight="1">
      <c r="H653" s="3"/>
    </row>
    <row r="654" ht="15.75" customHeight="1">
      <c r="H654" s="3"/>
    </row>
    <row r="655" ht="15.75" customHeight="1">
      <c r="H655" s="3"/>
    </row>
    <row r="656" ht="15.75" customHeight="1">
      <c r="H656" s="3"/>
    </row>
    <row r="657" ht="15.75" customHeight="1">
      <c r="H657" s="3"/>
    </row>
    <row r="658" ht="15.75" customHeight="1">
      <c r="H658" s="3"/>
    </row>
    <row r="659" ht="15.75" customHeight="1">
      <c r="H659" s="3"/>
    </row>
    <row r="660" ht="15.75" customHeight="1">
      <c r="H660" s="3"/>
    </row>
    <row r="661" ht="15.75" customHeight="1">
      <c r="H661" s="3"/>
    </row>
    <row r="662" ht="15.75" customHeight="1">
      <c r="H662" s="3"/>
    </row>
    <row r="663" ht="15.75" customHeight="1">
      <c r="H663" s="3"/>
    </row>
    <row r="664" ht="15.75" customHeight="1">
      <c r="H664" s="3"/>
    </row>
    <row r="665" ht="15.75" customHeight="1">
      <c r="H665" s="3"/>
    </row>
    <row r="666" ht="15.75" customHeight="1">
      <c r="H666" s="3"/>
    </row>
    <row r="667" ht="15.75" customHeight="1">
      <c r="H667" s="3"/>
    </row>
    <row r="668" ht="15.75" customHeight="1">
      <c r="H668" s="3"/>
    </row>
    <row r="669" ht="15.75" customHeight="1">
      <c r="H669" s="3"/>
    </row>
    <row r="670" ht="15.75" customHeight="1">
      <c r="H670" s="3"/>
    </row>
    <row r="671" ht="15.75" customHeight="1">
      <c r="H671" s="3"/>
    </row>
    <row r="672" ht="15.75" customHeight="1">
      <c r="H672" s="3"/>
    </row>
    <row r="673" ht="15.75" customHeight="1">
      <c r="H673" s="3"/>
    </row>
    <row r="674" ht="15.75" customHeight="1">
      <c r="H674" s="3"/>
    </row>
    <row r="675" ht="15.75" customHeight="1">
      <c r="H675" s="3"/>
    </row>
    <row r="676" ht="15.75" customHeight="1">
      <c r="H676" s="3"/>
    </row>
    <row r="677" ht="15.75" customHeight="1">
      <c r="H677" s="3"/>
    </row>
    <row r="678" ht="15.75" customHeight="1">
      <c r="H678" s="3"/>
    </row>
    <row r="679" ht="15.75" customHeight="1">
      <c r="H679" s="3"/>
    </row>
    <row r="680" ht="15.75" customHeight="1">
      <c r="H680" s="3"/>
    </row>
    <row r="681" ht="15.75" customHeight="1">
      <c r="H681" s="3"/>
    </row>
    <row r="682" ht="15.75" customHeight="1">
      <c r="H682" s="3"/>
    </row>
    <row r="683" ht="15.75" customHeight="1">
      <c r="H683" s="3"/>
    </row>
    <row r="684" ht="15.75" customHeight="1">
      <c r="H684" s="3"/>
    </row>
    <row r="685" ht="15.75" customHeight="1">
      <c r="H685" s="3"/>
    </row>
    <row r="686" ht="15.75" customHeight="1">
      <c r="H686" s="3"/>
    </row>
    <row r="687" ht="15.75" customHeight="1">
      <c r="H687" s="3"/>
    </row>
    <row r="688" ht="15.75" customHeight="1">
      <c r="H688" s="3"/>
    </row>
    <row r="689" ht="15.75" customHeight="1">
      <c r="H689" s="3"/>
    </row>
    <row r="690" ht="15.75" customHeight="1">
      <c r="H690" s="3"/>
    </row>
    <row r="691" ht="15.75" customHeight="1">
      <c r="H691" s="3"/>
    </row>
    <row r="692" ht="15.75" customHeight="1">
      <c r="H692" s="3"/>
    </row>
    <row r="693" ht="15.75" customHeight="1">
      <c r="H693" s="3"/>
    </row>
    <row r="694" ht="15.75" customHeight="1">
      <c r="H694" s="3"/>
    </row>
    <row r="695" ht="15.75" customHeight="1">
      <c r="H695" s="3"/>
    </row>
    <row r="696" ht="15.75" customHeight="1">
      <c r="H696" s="3"/>
    </row>
    <row r="697" ht="15.75" customHeight="1">
      <c r="H697" s="3"/>
    </row>
    <row r="698" ht="15.75" customHeight="1">
      <c r="H698" s="3"/>
    </row>
    <row r="699" ht="15.75" customHeight="1">
      <c r="H699" s="3"/>
    </row>
    <row r="700" ht="15.75" customHeight="1">
      <c r="H700" s="3"/>
    </row>
    <row r="701" ht="15.75" customHeight="1">
      <c r="H701" s="3"/>
    </row>
    <row r="702" ht="15.75" customHeight="1">
      <c r="H702" s="3"/>
    </row>
    <row r="703" ht="15.75" customHeight="1">
      <c r="H703" s="3"/>
    </row>
    <row r="704" ht="15.75" customHeight="1">
      <c r="H704" s="3"/>
    </row>
    <row r="705" ht="15.75" customHeight="1">
      <c r="H705" s="3"/>
    </row>
    <row r="706" ht="15.75" customHeight="1">
      <c r="H706" s="3"/>
    </row>
    <row r="707" ht="15.75" customHeight="1">
      <c r="H707" s="3"/>
    </row>
    <row r="708" ht="15.75" customHeight="1">
      <c r="H708" s="3"/>
    </row>
    <row r="709" ht="15.75" customHeight="1">
      <c r="H709" s="3"/>
    </row>
    <row r="710" ht="15.75" customHeight="1">
      <c r="H710" s="3"/>
    </row>
    <row r="711" ht="15.75" customHeight="1">
      <c r="H711" s="3"/>
    </row>
    <row r="712" ht="15.75" customHeight="1">
      <c r="H712" s="3"/>
    </row>
    <row r="713" ht="15.75" customHeight="1">
      <c r="H713" s="3"/>
    </row>
    <row r="714" ht="15.75" customHeight="1">
      <c r="H714" s="3"/>
    </row>
    <row r="715" ht="15.75" customHeight="1">
      <c r="H715" s="3"/>
    </row>
    <row r="716" ht="15.75" customHeight="1">
      <c r="H716" s="3"/>
    </row>
    <row r="717" ht="15.75" customHeight="1">
      <c r="H717" s="3"/>
    </row>
    <row r="718" ht="15.75" customHeight="1">
      <c r="H718" s="3"/>
    </row>
    <row r="719" ht="15.75" customHeight="1">
      <c r="H719" s="3"/>
    </row>
    <row r="720" ht="15.75" customHeight="1">
      <c r="H720" s="3"/>
    </row>
    <row r="721" ht="15.75" customHeight="1">
      <c r="H721" s="3"/>
    </row>
    <row r="722" ht="15.75" customHeight="1">
      <c r="H722" s="3"/>
    </row>
    <row r="723" ht="15.75" customHeight="1">
      <c r="H723" s="3"/>
    </row>
    <row r="724" ht="15.75" customHeight="1">
      <c r="H724" s="3"/>
    </row>
    <row r="725" ht="15.75" customHeight="1">
      <c r="H725" s="3"/>
    </row>
    <row r="726" ht="15.75" customHeight="1">
      <c r="H726" s="3"/>
    </row>
    <row r="727" ht="15.75" customHeight="1">
      <c r="H727" s="3"/>
    </row>
    <row r="728" ht="15.75" customHeight="1">
      <c r="H728" s="3"/>
    </row>
    <row r="729" ht="15.75" customHeight="1">
      <c r="H729" s="3"/>
    </row>
    <row r="730" ht="15.75" customHeight="1">
      <c r="H730" s="3"/>
    </row>
    <row r="731" ht="15.75" customHeight="1">
      <c r="H731" s="3"/>
    </row>
    <row r="732" ht="15.75" customHeight="1">
      <c r="H732" s="3"/>
    </row>
    <row r="733" ht="15.75" customHeight="1">
      <c r="H733" s="3"/>
    </row>
    <row r="734" ht="15.75" customHeight="1">
      <c r="H734" s="3"/>
    </row>
    <row r="735" ht="15.75" customHeight="1">
      <c r="H735" s="3"/>
    </row>
    <row r="736" ht="15.75" customHeight="1">
      <c r="H736" s="3"/>
    </row>
    <row r="737" ht="15.75" customHeight="1">
      <c r="H737" s="3"/>
    </row>
    <row r="738" ht="15.75" customHeight="1">
      <c r="H738" s="3"/>
    </row>
    <row r="739" ht="15.75" customHeight="1">
      <c r="H739" s="3"/>
    </row>
    <row r="740" ht="15.75" customHeight="1">
      <c r="H740" s="3"/>
    </row>
    <row r="741" ht="15.75" customHeight="1">
      <c r="H741" s="3"/>
    </row>
    <row r="742" ht="15.75" customHeight="1">
      <c r="H742" s="3"/>
    </row>
    <row r="743" ht="15.75" customHeight="1">
      <c r="H743" s="3"/>
    </row>
    <row r="744" ht="15.75" customHeight="1">
      <c r="H744" s="3"/>
    </row>
    <row r="745" ht="15.75" customHeight="1">
      <c r="H745" s="3"/>
    </row>
    <row r="746" ht="15.75" customHeight="1">
      <c r="H746" s="3"/>
    </row>
    <row r="747" ht="15.75" customHeight="1">
      <c r="H747" s="3"/>
    </row>
    <row r="748" ht="15.75" customHeight="1">
      <c r="H748" s="3"/>
    </row>
    <row r="749" ht="15.75" customHeight="1">
      <c r="H749" s="3"/>
    </row>
    <row r="750" ht="15.75" customHeight="1">
      <c r="H750" s="3"/>
    </row>
    <row r="751" ht="15.75" customHeight="1">
      <c r="H751" s="3"/>
    </row>
    <row r="752" ht="15.75" customHeight="1">
      <c r="H752" s="3"/>
    </row>
    <row r="753" ht="15.75" customHeight="1">
      <c r="H753" s="3"/>
    </row>
    <row r="754" ht="15.75" customHeight="1">
      <c r="H754" s="3"/>
    </row>
    <row r="755" ht="15.75" customHeight="1">
      <c r="H755" s="3"/>
    </row>
    <row r="756" ht="15.75" customHeight="1">
      <c r="H756" s="3"/>
    </row>
    <row r="757" ht="15.75" customHeight="1">
      <c r="H757" s="3"/>
    </row>
    <row r="758" ht="15.75" customHeight="1">
      <c r="H758" s="3"/>
    </row>
    <row r="759" ht="15.75" customHeight="1">
      <c r="H759" s="3"/>
    </row>
    <row r="760" ht="15.75" customHeight="1">
      <c r="H760" s="3"/>
    </row>
    <row r="761" ht="15.75" customHeight="1">
      <c r="H761" s="3"/>
    </row>
    <row r="762" ht="15.75" customHeight="1">
      <c r="H762" s="3"/>
    </row>
    <row r="763" ht="15.75" customHeight="1">
      <c r="H763" s="3"/>
    </row>
    <row r="764" ht="15.75" customHeight="1">
      <c r="H764" s="3"/>
    </row>
    <row r="765" ht="15.75" customHeight="1">
      <c r="H765" s="3"/>
    </row>
    <row r="766" ht="15.75" customHeight="1">
      <c r="H766" s="3"/>
    </row>
    <row r="767" ht="15.75" customHeight="1">
      <c r="H767" s="3"/>
    </row>
    <row r="768" ht="15.75" customHeight="1">
      <c r="H768" s="3"/>
    </row>
    <row r="769" ht="15.75" customHeight="1">
      <c r="H769" s="3"/>
    </row>
    <row r="770" ht="15.75" customHeight="1">
      <c r="H770" s="3"/>
    </row>
    <row r="771" ht="15.75" customHeight="1">
      <c r="H771" s="3"/>
    </row>
    <row r="772" ht="15.75" customHeight="1">
      <c r="H772" s="3"/>
    </row>
    <row r="773" ht="15.75" customHeight="1">
      <c r="H773" s="3"/>
    </row>
    <row r="774" ht="15.75" customHeight="1">
      <c r="H774" s="3"/>
    </row>
    <row r="775" ht="15.75" customHeight="1">
      <c r="H775" s="3"/>
    </row>
    <row r="776" ht="15.75" customHeight="1">
      <c r="H776" s="3"/>
    </row>
    <row r="777" ht="15.75" customHeight="1">
      <c r="H777" s="3"/>
    </row>
    <row r="778" ht="15.75" customHeight="1">
      <c r="H778" s="3"/>
    </row>
    <row r="779" ht="15.75" customHeight="1">
      <c r="H779" s="3"/>
    </row>
    <row r="780" ht="15.75" customHeight="1">
      <c r="H780" s="3"/>
    </row>
    <row r="781" ht="15.75" customHeight="1">
      <c r="H781" s="3"/>
    </row>
    <row r="782" ht="15.75" customHeight="1">
      <c r="H782" s="3"/>
    </row>
    <row r="783" ht="15.75" customHeight="1">
      <c r="H783" s="3"/>
    </row>
    <row r="784" ht="15.75" customHeight="1">
      <c r="H784" s="3"/>
    </row>
    <row r="785" ht="15.75" customHeight="1">
      <c r="H785" s="3"/>
    </row>
    <row r="786" ht="15.75" customHeight="1">
      <c r="H786" s="3"/>
    </row>
    <row r="787" ht="15.75" customHeight="1">
      <c r="H787" s="3"/>
    </row>
    <row r="788" ht="15.75" customHeight="1">
      <c r="H788" s="3"/>
    </row>
    <row r="789" ht="15.75" customHeight="1">
      <c r="H789" s="3"/>
    </row>
    <row r="790" ht="15.75" customHeight="1">
      <c r="H790" s="3"/>
    </row>
    <row r="791" ht="15.75" customHeight="1">
      <c r="H791" s="3"/>
    </row>
    <row r="792" ht="15.75" customHeight="1">
      <c r="H792" s="3"/>
    </row>
    <row r="793" ht="15.75" customHeight="1">
      <c r="H793" s="3"/>
    </row>
    <row r="794" ht="15.75" customHeight="1">
      <c r="H794" s="3"/>
    </row>
    <row r="795" ht="15.75" customHeight="1">
      <c r="H795" s="3"/>
    </row>
    <row r="796" ht="15.75" customHeight="1">
      <c r="H796" s="3"/>
    </row>
    <row r="797" ht="15.75" customHeight="1">
      <c r="H797" s="3"/>
    </row>
    <row r="798" ht="15.75" customHeight="1">
      <c r="H798" s="3"/>
    </row>
    <row r="799" ht="15.75" customHeight="1">
      <c r="H799" s="3"/>
    </row>
    <row r="800" ht="15.75" customHeight="1">
      <c r="H800" s="3"/>
    </row>
    <row r="801" ht="15.75" customHeight="1">
      <c r="H801" s="3"/>
    </row>
    <row r="802" ht="15.75" customHeight="1">
      <c r="H802" s="3"/>
    </row>
    <row r="803" ht="15.75" customHeight="1">
      <c r="H803" s="3"/>
    </row>
    <row r="804" ht="15.75" customHeight="1">
      <c r="H804" s="3"/>
    </row>
    <row r="805" ht="15.75" customHeight="1">
      <c r="H805" s="3"/>
    </row>
    <row r="806" ht="15.75" customHeight="1">
      <c r="H806" s="3"/>
    </row>
    <row r="807" ht="15.75" customHeight="1">
      <c r="H807" s="3"/>
    </row>
    <row r="808" ht="15.75" customHeight="1">
      <c r="H808" s="3"/>
    </row>
    <row r="809" ht="15.75" customHeight="1">
      <c r="H809" s="3"/>
    </row>
    <row r="810" ht="15.75" customHeight="1">
      <c r="H810" s="3"/>
    </row>
    <row r="811" ht="15.75" customHeight="1">
      <c r="H811" s="3"/>
    </row>
    <row r="812" ht="15.75" customHeight="1">
      <c r="H812" s="3"/>
    </row>
    <row r="813" ht="15.75" customHeight="1">
      <c r="H813" s="3"/>
    </row>
    <row r="814" ht="15.75" customHeight="1">
      <c r="H814" s="3"/>
    </row>
    <row r="815" ht="15.75" customHeight="1">
      <c r="H815" s="3"/>
    </row>
    <row r="816" ht="15.75" customHeight="1">
      <c r="H816" s="3"/>
    </row>
    <row r="817" ht="15.75" customHeight="1">
      <c r="H817" s="3"/>
    </row>
    <row r="818" ht="15.75" customHeight="1">
      <c r="H818" s="3"/>
    </row>
    <row r="819" ht="15.75" customHeight="1">
      <c r="H819" s="3"/>
    </row>
    <row r="820" ht="15.75" customHeight="1">
      <c r="H820" s="3"/>
    </row>
    <row r="821" ht="15.75" customHeight="1">
      <c r="H821" s="3"/>
    </row>
    <row r="822" ht="15.75" customHeight="1">
      <c r="H822" s="3"/>
    </row>
    <row r="823" ht="15.75" customHeight="1">
      <c r="H823" s="3"/>
    </row>
    <row r="824" ht="15.75" customHeight="1">
      <c r="H824" s="3"/>
    </row>
    <row r="825" ht="15.75" customHeight="1">
      <c r="H825" s="3"/>
    </row>
    <row r="826" ht="15.75" customHeight="1">
      <c r="H826" s="3"/>
    </row>
    <row r="827" ht="15.75" customHeight="1">
      <c r="H827" s="3"/>
    </row>
    <row r="828" ht="15.75" customHeight="1">
      <c r="H828" s="3"/>
    </row>
    <row r="829" ht="15.75" customHeight="1">
      <c r="H829" s="3"/>
    </row>
    <row r="830" ht="15.75" customHeight="1">
      <c r="H830" s="3"/>
    </row>
    <row r="831" ht="15.75" customHeight="1">
      <c r="H831" s="3"/>
    </row>
    <row r="832" ht="15.75" customHeight="1">
      <c r="H832" s="3"/>
    </row>
    <row r="833" ht="15.75" customHeight="1">
      <c r="H833" s="3"/>
    </row>
    <row r="834" ht="15.75" customHeight="1">
      <c r="H834" s="3"/>
    </row>
    <row r="835" ht="15.75" customHeight="1">
      <c r="H835" s="3"/>
    </row>
    <row r="836" ht="15.75" customHeight="1">
      <c r="H836" s="3"/>
    </row>
    <row r="837" ht="15.75" customHeight="1">
      <c r="H837" s="3"/>
    </row>
    <row r="838" ht="15.75" customHeight="1">
      <c r="H838" s="3"/>
    </row>
    <row r="839" ht="15.75" customHeight="1">
      <c r="H839" s="3"/>
    </row>
    <row r="840" ht="15.75" customHeight="1">
      <c r="H840" s="3"/>
    </row>
    <row r="841" ht="15.75" customHeight="1">
      <c r="H841" s="3"/>
    </row>
    <row r="842" ht="15.75" customHeight="1">
      <c r="H842" s="3"/>
    </row>
    <row r="843" ht="15.75" customHeight="1">
      <c r="H843" s="3"/>
    </row>
    <row r="844" ht="15.75" customHeight="1">
      <c r="H844" s="3"/>
    </row>
    <row r="845" ht="15.75" customHeight="1">
      <c r="H845" s="3"/>
    </row>
    <row r="846" ht="15.75" customHeight="1">
      <c r="H846" s="3"/>
    </row>
    <row r="847" ht="15.75" customHeight="1">
      <c r="H847" s="3"/>
    </row>
    <row r="848" ht="15.75" customHeight="1">
      <c r="H848" s="3"/>
    </row>
    <row r="849" ht="15.75" customHeight="1">
      <c r="H849" s="3"/>
    </row>
    <row r="850" ht="15.75" customHeight="1">
      <c r="H850" s="3"/>
    </row>
    <row r="851" ht="15.75" customHeight="1">
      <c r="H851" s="3"/>
    </row>
    <row r="852" ht="15.75" customHeight="1">
      <c r="H852" s="3"/>
    </row>
    <row r="853" ht="15.75" customHeight="1">
      <c r="H853" s="3"/>
    </row>
    <row r="854" ht="15.75" customHeight="1">
      <c r="H854" s="3"/>
    </row>
    <row r="855" ht="15.75" customHeight="1">
      <c r="H855" s="3"/>
    </row>
    <row r="856" ht="15.75" customHeight="1">
      <c r="H856" s="3"/>
    </row>
    <row r="857" ht="15.75" customHeight="1">
      <c r="H857" s="3"/>
    </row>
    <row r="858" ht="15.75" customHeight="1">
      <c r="H858" s="3"/>
    </row>
    <row r="859" ht="15.75" customHeight="1">
      <c r="H859" s="3"/>
    </row>
    <row r="860" ht="15.75" customHeight="1">
      <c r="H860" s="3"/>
    </row>
    <row r="861" ht="15.75" customHeight="1">
      <c r="H861" s="3"/>
    </row>
    <row r="862" ht="15.75" customHeight="1">
      <c r="H862" s="3"/>
    </row>
    <row r="863" ht="15.75" customHeight="1">
      <c r="H863" s="3"/>
    </row>
    <row r="864" ht="15.75" customHeight="1">
      <c r="H864" s="3"/>
    </row>
    <row r="865" ht="15.75" customHeight="1">
      <c r="H865" s="3"/>
    </row>
    <row r="866" ht="15.75" customHeight="1">
      <c r="H866" s="3"/>
    </row>
    <row r="867" ht="15.75" customHeight="1">
      <c r="H867" s="3"/>
    </row>
    <row r="868" ht="15.75" customHeight="1">
      <c r="H868" s="3"/>
    </row>
    <row r="869" ht="15.75" customHeight="1">
      <c r="H869" s="3"/>
    </row>
    <row r="870" ht="15.75" customHeight="1">
      <c r="H870" s="3"/>
    </row>
    <row r="871" ht="15.75" customHeight="1">
      <c r="H871" s="3"/>
    </row>
    <row r="872" ht="15.75" customHeight="1">
      <c r="H872" s="3"/>
    </row>
    <row r="873" ht="15.75" customHeight="1">
      <c r="H873" s="3"/>
    </row>
    <row r="874" ht="15.75" customHeight="1">
      <c r="H874" s="3"/>
    </row>
    <row r="875" ht="15.75" customHeight="1">
      <c r="H875" s="3"/>
    </row>
    <row r="876" ht="15.75" customHeight="1">
      <c r="H876" s="3"/>
    </row>
    <row r="877" ht="15.75" customHeight="1">
      <c r="H877" s="3"/>
    </row>
    <row r="878" ht="15.75" customHeight="1">
      <c r="H878" s="3"/>
    </row>
    <row r="879" ht="15.75" customHeight="1">
      <c r="H879" s="3"/>
    </row>
    <row r="880" ht="15.75" customHeight="1">
      <c r="H880" s="3"/>
    </row>
    <row r="881" ht="15.75" customHeight="1">
      <c r="H881" s="3"/>
    </row>
    <row r="882" ht="15.75" customHeight="1">
      <c r="H882" s="3"/>
    </row>
    <row r="883" ht="15.75" customHeight="1">
      <c r="H883" s="3"/>
    </row>
    <row r="884" ht="15.75" customHeight="1">
      <c r="H884" s="3"/>
    </row>
    <row r="885" ht="15.75" customHeight="1">
      <c r="H885" s="3"/>
    </row>
    <row r="886" ht="15.75" customHeight="1">
      <c r="H886" s="3"/>
    </row>
    <row r="887" ht="15.75" customHeight="1">
      <c r="H887" s="3"/>
    </row>
    <row r="888" ht="15.75" customHeight="1">
      <c r="H888" s="3"/>
    </row>
    <row r="889" ht="15.75" customHeight="1">
      <c r="H889" s="3"/>
    </row>
    <row r="890" ht="15.75" customHeight="1">
      <c r="H890" s="3"/>
    </row>
    <row r="891" ht="15.75" customHeight="1">
      <c r="H891" s="3"/>
    </row>
    <row r="892" ht="15.75" customHeight="1">
      <c r="H892" s="3"/>
    </row>
    <row r="893" ht="15.75" customHeight="1">
      <c r="H893" s="3"/>
    </row>
    <row r="894" ht="15.75" customHeight="1">
      <c r="H894" s="3"/>
    </row>
    <row r="895" ht="15.75" customHeight="1">
      <c r="H895" s="3"/>
    </row>
    <row r="896" ht="15.75" customHeight="1">
      <c r="H896" s="3"/>
    </row>
    <row r="897" ht="15.75" customHeight="1">
      <c r="H897" s="3"/>
    </row>
    <row r="898" ht="15.75" customHeight="1">
      <c r="H898" s="3"/>
    </row>
    <row r="899" ht="15.75" customHeight="1">
      <c r="H899" s="3"/>
    </row>
    <row r="900" ht="15.75" customHeight="1">
      <c r="H900" s="3"/>
    </row>
    <row r="901" ht="15.75" customHeight="1">
      <c r="H901" s="3"/>
    </row>
    <row r="902" ht="15.75" customHeight="1">
      <c r="H902" s="3"/>
    </row>
    <row r="903" ht="15.75" customHeight="1">
      <c r="H903" s="3"/>
    </row>
    <row r="904" ht="15.75" customHeight="1">
      <c r="H904" s="3"/>
    </row>
    <row r="905" ht="15.75" customHeight="1">
      <c r="H905" s="3"/>
    </row>
    <row r="906" ht="15.75" customHeight="1">
      <c r="H906" s="3"/>
    </row>
    <row r="907" ht="15.75" customHeight="1">
      <c r="H907" s="3"/>
    </row>
    <row r="908" ht="15.75" customHeight="1">
      <c r="H908" s="3"/>
    </row>
    <row r="909" ht="15.75" customHeight="1">
      <c r="H909" s="3"/>
    </row>
    <row r="910" ht="15.75" customHeight="1">
      <c r="H910" s="3"/>
    </row>
    <row r="911" ht="15.75" customHeight="1">
      <c r="H911" s="3"/>
    </row>
    <row r="912" ht="15.75" customHeight="1">
      <c r="H912" s="3"/>
    </row>
    <row r="913" ht="15.75" customHeight="1">
      <c r="H913" s="3"/>
    </row>
    <row r="914" ht="15.75" customHeight="1">
      <c r="H914" s="3"/>
    </row>
    <row r="915" ht="15.75" customHeight="1">
      <c r="H915" s="3"/>
    </row>
    <row r="916" ht="15.75" customHeight="1">
      <c r="H916" s="3"/>
    </row>
    <row r="917" ht="15.75" customHeight="1">
      <c r="H917" s="3"/>
    </row>
    <row r="918" ht="15.75" customHeight="1">
      <c r="H918" s="3"/>
    </row>
    <row r="919" ht="15.75" customHeight="1">
      <c r="H919" s="3"/>
    </row>
    <row r="920" ht="15.75" customHeight="1">
      <c r="H920" s="3"/>
    </row>
    <row r="921" ht="15.75" customHeight="1">
      <c r="H921" s="3"/>
    </row>
    <row r="922" ht="15.75" customHeight="1">
      <c r="H922" s="3"/>
    </row>
    <row r="923" ht="15.75" customHeight="1">
      <c r="H923" s="3"/>
    </row>
    <row r="924" ht="15.75" customHeight="1">
      <c r="H924" s="3"/>
    </row>
    <row r="925" ht="15.75" customHeight="1">
      <c r="H925" s="3"/>
    </row>
    <row r="926" ht="15.75" customHeight="1">
      <c r="H926" s="3"/>
    </row>
    <row r="927" ht="15.75" customHeight="1">
      <c r="H927" s="3"/>
    </row>
    <row r="928" ht="15.75" customHeight="1">
      <c r="H928" s="3"/>
    </row>
    <row r="929" ht="15.75" customHeight="1">
      <c r="H929" s="3"/>
    </row>
    <row r="930" ht="15.75" customHeight="1">
      <c r="H930" s="3"/>
    </row>
    <row r="931" ht="15.75" customHeight="1">
      <c r="H931" s="3"/>
    </row>
    <row r="932" ht="15.75" customHeight="1">
      <c r="H932" s="3"/>
    </row>
    <row r="933" ht="15.75" customHeight="1">
      <c r="H933" s="3"/>
    </row>
    <row r="934" ht="15.75" customHeight="1">
      <c r="H934" s="3"/>
    </row>
    <row r="935" ht="15.75" customHeight="1">
      <c r="H935" s="3"/>
    </row>
    <row r="936" ht="15.75" customHeight="1">
      <c r="H936" s="3"/>
    </row>
    <row r="937" ht="15.75" customHeight="1">
      <c r="H937" s="3"/>
    </row>
    <row r="938" ht="15.75" customHeight="1">
      <c r="H938" s="3"/>
    </row>
    <row r="939" ht="15.75" customHeight="1">
      <c r="H939" s="3"/>
    </row>
    <row r="940" ht="15.75" customHeight="1">
      <c r="H940" s="3"/>
    </row>
    <row r="941" ht="15.75" customHeight="1">
      <c r="H941" s="3"/>
    </row>
    <row r="942" ht="15.75" customHeight="1">
      <c r="H942" s="3"/>
    </row>
    <row r="943" ht="15.75" customHeight="1">
      <c r="H943" s="3"/>
    </row>
    <row r="944" ht="15.75" customHeight="1">
      <c r="H944" s="3"/>
    </row>
    <row r="945" ht="15.75" customHeight="1">
      <c r="H945" s="3"/>
    </row>
    <row r="946" ht="15.75" customHeight="1">
      <c r="H946" s="3"/>
    </row>
    <row r="947" ht="15.75" customHeight="1">
      <c r="H947" s="3"/>
    </row>
    <row r="948" ht="15.75" customHeight="1">
      <c r="H948" s="3"/>
    </row>
    <row r="949" ht="15.75" customHeight="1">
      <c r="H949" s="3"/>
    </row>
    <row r="950" ht="15.75" customHeight="1">
      <c r="H950" s="3"/>
    </row>
    <row r="951" ht="15.75" customHeight="1">
      <c r="H951" s="3"/>
    </row>
    <row r="952" ht="15.75" customHeight="1">
      <c r="H952" s="3"/>
    </row>
    <row r="953" ht="15.75" customHeight="1">
      <c r="H953" s="3"/>
    </row>
    <row r="954" ht="15.75" customHeight="1">
      <c r="H954" s="3"/>
    </row>
    <row r="955" ht="15.75" customHeight="1">
      <c r="H955" s="3"/>
    </row>
    <row r="956" ht="15.75" customHeight="1">
      <c r="H956" s="3"/>
    </row>
    <row r="957" ht="15.75" customHeight="1">
      <c r="H957" s="3"/>
    </row>
    <row r="958" ht="15.75" customHeight="1">
      <c r="H958" s="3"/>
    </row>
    <row r="959" ht="15.75" customHeight="1">
      <c r="H959" s="3"/>
    </row>
    <row r="960" ht="15.75" customHeight="1">
      <c r="H960" s="3"/>
    </row>
    <row r="961" ht="15.75" customHeight="1">
      <c r="H961" s="3"/>
    </row>
    <row r="962" ht="15.75" customHeight="1">
      <c r="H962" s="3"/>
    </row>
    <row r="963" ht="15.75" customHeight="1">
      <c r="H963" s="3"/>
    </row>
    <row r="964" ht="15.75" customHeight="1">
      <c r="H964" s="3"/>
    </row>
    <row r="965" ht="15.75" customHeight="1">
      <c r="H965" s="3"/>
    </row>
    <row r="966" ht="15.75" customHeight="1">
      <c r="H966" s="3"/>
    </row>
    <row r="967" ht="15.75" customHeight="1">
      <c r="H967" s="3"/>
    </row>
    <row r="968" ht="15.75" customHeight="1">
      <c r="H968" s="3"/>
    </row>
    <row r="969" ht="15.75" customHeight="1">
      <c r="H969" s="3"/>
    </row>
    <row r="970" ht="15.75" customHeight="1">
      <c r="H970" s="3"/>
    </row>
    <row r="971" ht="15.75" customHeight="1">
      <c r="H971" s="3"/>
    </row>
    <row r="972" ht="15.75" customHeight="1">
      <c r="H972" s="3"/>
    </row>
    <row r="973" ht="15.75" customHeight="1">
      <c r="H973" s="3"/>
    </row>
    <row r="974" ht="15.75" customHeight="1">
      <c r="H974" s="3"/>
    </row>
    <row r="975" ht="15.75" customHeight="1">
      <c r="H975" s="3"/>
    </row>
    <row r="976" ht="15.75" customHeight="1">
      <c r="H976" s="3"/>
    </row>
    <row r="977" ht="15.75" customHeight="1">
      <c r="H977" s="3"/>
    </row>
    <row r="978" ht="15.75" customHeight="1">
      <c r="H978" s="3"/>
    </row>
    <row r="979" ht="15.75" customHeight="1">
      <c r="H979" s="3"/>
    </row>
    <row r="980" ht="15.75" customHeight="1">
      <c r="H980" s="3"/>
    </row>
    <row r="981" ht="15.75" customHeight="1">
      <c r="H981" s="3"/>
    </row>
    <row r="982" ht="15.75" customHeight="1">
      <c r="H982" s="3"/>
    </row>
    <row r="983" ht="15.75" customHeight="1">
      <c r="H983" s="3"/>
    </row>
    <row r="984" ht="15.75" customHeight="1">
      <c r="H984" s="3"/>
    </row>
    <row r="985" ht="15.75" customHeight="1">
      <c r="H985" s="3"/>
    </row>
    <row r="986" ht="15.75" customHeight="1">
      <c r="H986" s="3"/>
    </row>
    <row r="987" ht="15.75" customHeight="1">
      <c r="H987" s="3"/>
    </row>
    <row r="988" ht="15.75" customHeight="1">
      <c r="H988" s="3"/>
    </row>
    <row r="989" ht="15.75" customHeight="1">
      <c r="H989" s="3"/>
    </row>
    <row r="990" ht="15.75" customHeight="1">
      <c r="H990" s="3"/>
    </row>
    <row r="991" ht="15.75" customHeight="1">
      <c r="H991" s="3"/>
    </row>
    <row r="992" ht="15.75" customHeight="1">
      <c r="H992" s="3"/>
    </row>
    <row r="993" ht="15.75" customHeight="1">
      <c r="H993" s="3"/>
    </row>
    <row r="994" ht="15.75" customHeight="1">
      <c r="H994" s="3"/>
    </row>
    <row r="995" ht="15.75" customHeight="1">
      <c r="H995" s="3"/>
    </row>
    <row r="996" ht="15.75" customHeight="1">
      <c r="H996" s="3"/>
    </row>
    <row r="997" ht="15.75" customHeight="1">
      <c r="H997" s="3"/>
    </row>
    <row r="998" ht="15.75" customHeight="1">
      <c r="H998" s="3"/>
    </row>
    <row r="999" ht="15.75" customHeight="1">
      <c r="H999" s="3"/>
    </row>
    <row r="1000" ht="15.75" customHeight="1">
      <c r="H1000" s="3"/>
    </row>
  </sheetData>
  <autoFilter ref="$A$1:$C$57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10.75"/>
    <col customWidth="1" hidden="1" min="3" max="4" width="7.75"/>
    <col customWidth="1" min="5" max="5" width="26.25"/>
    <col customWidth="1" min="6" max="6" width="15.75"/>
    <col customWidth="1" hidden="1" min="7" max="7" width="9.63"/>
    <col customWidth="1" min="8" max="8" width="12.63"/>
    <col customWidth="1" min="9" max="9" width="45.88"/>
    <col customWidth="1" min="10" max="10" width="26.25"/>
    <col customWidth="1" min="11" max="11" width="26.0"/>
    <col customWidth="1" min="12" max="12" width="17.88"/>
    <col customWidth="1" min="13" max="13" width="10.75"/>
    <col customWidth="1" min="14" max="26" width="26.25"/>
  </cols>
  <sheetData>
    <row r="1">
      <c r="A1" s="4" t="s">
        <v>22</v>
      </c>
      <c r="B1" s="15" t="s">
        <v>23</v>
      </c>
      <c r="C1" s="15" t="s">
        <v>24</v>
      </c>
      <c r="D1" s="15"/>
      <c r="E1" s="15" t="s">
        <v>25</v>
      </c>
      <c r="F1" s="15" t="s">
        <v>26</v>
      </c>
      <c r="G1" s="15" t="s">
        <v>27</v>
      </c>
      <c r="H1" s="15" t="s">
        <v>6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  <c r="N1" s="15" t="s">
        <v>33</v>
      </c>
      <c r="O1" s="15" t="s">
        <v>34</v>
      </c>
      <c r="P1" s="15" t="s">
        <v>35</v>
      </c>
    </row>
    <row r="2">
      <c r="A2" s="4" t="s">
        <v>36</v>
      </c>
      <c r="B2" s="25" t="s">
        <v>75</v>
      </c>
      <c r="C2" s="25" t="s">
        <v>55</v>
      </c>
      <c r="D2" s="25"/>
      <c r="E2" s="25" t="s">
        <v>76</v>
      </c>
      <c r="F2" s="25" t="s">
        <v>67</v>
      </c>
      <c r="G2" s="25" t="s">
        <v>68</v>
      </c>
      <c r="H2" s="27">
        <v>6.99</v>
      </c>
      <c r="I2" s="25" t="s">
        <v>77</v>
      </c>
      <c r="J2" s="25" t="s">
        <v>76</v>
      </c>
      <c r="K2" s="25" t="s">
        <v>78</v>
      </c>
      <c r="L2" s="25" t="s">
        <v>79</v>
      </c>
      <c r="M2" s="25" t="s">
        <v>80</v>
      </c>
      <c r="N2" s="25" t="s">
        <v>45</v>
      </c>
      <c r="O2" s="25" t="s">
        <v>81</v>
      </c>
      <c r="P2" s="25" t="s">
        <v>82</v>
      </c>
    </row>
    <row r="3">
      <c r="A3" s="4" t="s">
        <v>36</v>
      </c>
      <c r="B3" s="25" t="s">
        <v>100</v>
      </c>
      <c r="C3" s="25" t="s">
        <v>55</v>
      </c>
      <c r="D3" s="25"/>
      <c r="E3" s="25" t="s">
        <v>101</v>
      </c>
      <c r="F3" s="25" t="s">
        <v>67</v>
      </c>
      <c r="G3" s="25" t="s">
        <v>68</v>
      </c>
      <c r="H3" s="27">
        <v>7.83</v>
      </c>
      <c r="I3" s="25" t="s">
        <v>102</v>
      </c>
      <c r="J3" s="25" t="s">
        <v>101</v>
      </c>
      <c r="K3" s="25" t="s">
        <v>103</v>
      </c>
      <c r="L3" s="25" t="s">
        <v>104</v>
      </c>
      <c r="M3" s="25" t="s">
        <v>105</v>
      </c>
      <c r="N3" s="25" t="s">
        <v>45</v>
      </c>
      <c r="O3" s="25" t="s">
        <v>106</v>
      </c>
      <c r="P3" s="25" t="s">
        <v>107</v>
      </c>
    </row>
    <row r="4">
      <c r="A4" s="4" t="s">
        <v>168</v>
      </c>
      <c r="B4" s="25" t="s">
        <v>37</v>
      </c>
      <c r="C4" s="25" t="s">
        <v>55</v>
      </c>
      <c r="D4" s="25"/>
      <c r="E4" s="25" t="s">
        <v>84</v>
      </c>
      <c r="F4" s="25" t="s">
        <v>67</v>
      </c>
      <c r="G4" s="25" t="s">
        <v>68</v>
      </c>
      <c r="H4" s="27">
        <v>26.49</v>
      </c>
      <c r="I4" s="25" t="s">
        <v>175</v>
      </c>
      <c r="J4" s="25" t="s">
        <v>84</v>
      </c>
      <c r="K4" s="25" t="s">
        <v>86</v>
      </c>
      <c r="L4" s="25" t="s">
        <v>87</v>
      </c>
      <c r="M4" s="25" t="s">
        <v>88</v>
      </c>
      <c r="N4" s="25" t="s">
        <v>45</v>
      </c>
      <c r="O4" s="25" t="s">
        <v>176</v>
      </c>
      <c r="P4" s="25" t="s">
        <v>90</v>
      </c>
    </row>
    <row r="5">
      <c r="A5" s="4" t="s">
        <v>36</v>
      </c>
      <c r="B5" s="23" t="s">
        <v>37</v>
      </c>
      <c r="C5" s="23" t="s">
        <v>55</v>
      </c>
      <c r="D5" s="23"/>
      <c r="E5" s="23" t="s">
        <v>222</v>
      </c>
      <c r="F5" s="23" t="s">
        <v>67</v>
      </c>
      <c r="G5" s="23" t="s">
        <v>68</v>
      </c>
      <c r="H5" s="28">
        <v>45.7</v>
      </c>
      <c r="I5" s="23" t="s">
        <v>223</v>
      </c>
      <c r="J5" s="23" t="s">
        <v>222</v>
      </c>
      <c r="K5" s="23" t="s">
        <v>70</v>
      </c>
      <c r="L5" s="23" t="s">
        <v>71</v>
      </c>
      <c r="M5" s="23" t="s">
        <v>72</v>
      </c>
      <c r="N5" s="23" t="s">
        <v>45</v>
      </c>
      <c r="O5" s="23" t="s">
        <v>224</v>
      </c>
      <c r="P5" s="23" t="s">
        <v>74</v>
      </c>
    </row>
    <row r="6">
      <c r="A6" s="4" t="s">
        <v>36</v>
      </c>
      <c r="B6" s="25" t="s">
        <v>257</v>
      </c>
      <c r="C6" s="25" t="s">
        <v>55</v>
      </c>
      <c r="D6" s="25"/>
      <c r="E6" s="25" t="s">
        <v>311</v>
      </c>
      <c r="F6" s="25" t="s">
        <v>67</v>
      </c>
      <c r="G6" s="25" t="s">
        <v>68</v>
      </c>
      <c r="H6" s="27">
        <v>108.0</v>
      </c>
      <c r="I6" s="25" t="s">
        <v>312</v>
      </c>
      <c r="J6" s="25" t="s">
        <v>311</v>
      </c>
      <c r="K6" s="25" t="s">
        <v>313</v>
      </c>
      <c r="L6" s="25" t="s">
        <v>314</v>
      </c>
      <c r="M6" s="25" t="s">
        <v>315</v>
      </c>
      <c r="N6" s="25" t="s">
        <v>45</v>
      </c>
      <c r="O6" s="25" t="s">
        <v>316</v>
      </c>
      <c r="P6" s="25" t="s">
        <v>82</v>
      </c>
    </row>
    <row r="7">
      <c r="A7" s="4" t="s">
        <v>36</v>
      </c>
      <c r="B7" s="25" t="s">
        <v>131</v>
      </c>
      <c r="C7" s="25" t="s">
        <v>55</v>
      </c>
      <c r="D7" s="25"/>
      <c r="E7" s="25" t="s">
        <v>66</v>
      </c>
      <c r="F7" s="25" t="s">
        <v>67</v>
      </c>
      <c r="G7" s="25" t="s">
        <v>68</v>
      </c>
      <c r="H7" s="27">
        <v>117.91</v>
      </c>
      <c r="I7" s="25" t="s">
        <v>336</v>
      </c>
      <c r="J7" s="25" t="s">
        <v>66</v>
      </c>
      <c r="K7" s="25" t="s">
        <v>70</v>
      </c>
      <c r="L7" s="25" t="s">
        <v>71</v>
      </c>
      <c r="M7" s="25" t="s">
        <v>72</v>
      </c>
      <c r="N7" s="25" t="s">
        <v>45</v>
      </c>
      <c r="O7" s="25" t="s">
        <v>337</v>
      </c>
      <c r="P7" s="25" t="s">
        <v>74</v>
      </c>
    </row>
    <row r="8">
      <c r="A8" s="4" t="s">
        <v>168</v>
      </c>
      <c r="B8" s="25" t="s">
        <v>383</v>
      </c>
      <c r="C8" s="25" t="s">
        <v>55</v>
      </c>
      <c r="D8" s="25"/>
      <c r="E8" s="25" t="s">
        <v>66</v>
      </c>
      <c r="F8" s="25" t="s">
        <v>67</v>
      </c>
      <c r="G8" s="25" t="s">
        <v>68</v>
      </c>
      <c r="H8" s="27">
        <v>201.51</v>
      </c>
      <c r="I8" s="25" t="s">
        <v>404</v>
      </c>
      <c r="J8" s="25" t="s">
        <v>66</v>
      </c>
      <c r="K8" s="25" t="s">
        <v>70</v>
      </c>
      <c r="L8" s="25" t="s">
        <v>71</v>
      </c>
      <c r="M8" s="25" t="s">
        <v>72</v>
      </c>
      <c r="N8" s="25" t="s">
        <v>45</v>
      </c>
      <c r="O8" s="25" t="s">
        <v>405</v>
      </c>
      <c r="P8" s="25" t="s">
        <v>74</v>
      </c>
    </row>
    <row r="9">
      <c r="A9" s="22" t="s">
        <v>36</v>
      </c>
      <c r="B9" s="23" t="s">
        <v>54</v>
      </c>
      <c r="C9" s="23" t="s">
        <v>55</v>
      </c>
      <c r="D9" s="23"/>
      <c r="E9" s="23" t="s">
        <v>411</v>
      </c>
      <c r="F9" s="23" t="s">
        <v>67</v>
      </c>
      <c r="G9" s="23" t="s">
        <v>68</v>
      </c>
      <c r="H9" s="28">
        <v>223.89</v>
      </c>
      <c r="I9" s="23" t="s">
        <v>412</v>
      </c>
      <c r="J9" s="23" t="s">
        <v>411</v>
      </c>
      <c r="K9" s="23" t="s">
        <v>413</v>
      </c>
      <c r="L9" s="23" t="s">
        <v>414</v>
      </c>
      <c r="M9" s="23" t="s">
        <v>415</v>
      </c>
      <c r="N9" s="23" t="s">
        <v>45</v>
      </c>
      <c r="O9" s="23" t="s">
        <v>416</v>
      </c>
      <c r="P9" s="23" t="s">
        <v>417</v>
      </c>
    </row>
    <row r="10">
      <c r="A10" s="4" t="s">
        <v>168</v>
      </c>
      <c r="B10" s="25" t="s">
        <v>75</v>
      </c>
      <c r="C10" s="25" t="s">
        <v>55</v>
      </c>
      <c r="D10" s="25"/>
      <c r="E10" s="25" t="s">
        <v>440</v>
      </c>
      <c r="F10" s="25" t="s">
        <v>67</v>
      </c>
      <c r="G10" s="25" t="s">
        <v>68</v>
      </c>
      <c r="H10" s="27">
        <v>270.0</v>
      </c>
      <c r="I10" s="25" t="s">
        <v>441</v>
      </c>
      <c r="J10" s="25" t="s">
        <v>440</v>
      </c>
      <c r="K10" s="25" t="s">
        <v>285</v>
      </c>
      <c r="L10" s="25" t="s">
        <v>71</v>
      </c>
      <c r="M10" s="25" t="s">
        <v>249</v>
      </c>
      <c r="N10" s="25" t="s">
        <v>45</v>
      </c>
      <c r="O10" s="25" t="s">
        <v>442</v>
      </c>
      <c r="P10" s="25" t="s">
        <v>287</v>
      </c>
    </row>
    <row r="11">
      <c r="A11" s="4" t="s">
        <v>36</v>
      </c>
      <c r="B11" s="23" t="s">
        <v>183</v>
      </c>
      <c r="C11" s="23" t="s">
        <v>55</v>
      </c>
      <c r="D11" s="23"/>
      <c r="E11" s="23" t="s">
        <v>489</v>
      </c>
      <c r="F11" s="23" t="s">
        <v>67</v>
      </c>
      <c r="G11" s="23" t="s">
        <v>68</v>
      </c>
      <c r="H11" s="28">
        <v>1015.2</v>
      </c>
      <c r="I11" s="23" t="s">
        <v>490</v>
      </c>
      <c r="J11" s="23" t="s">
        <v>489</v>
      </c>
      <c r="K11" s="23" t="s">
        <v>285</v>
      </c>
      <c r="L11" s="23" t="s">
        <v>71</v>
      </c>
      <c r="M11" s="23" t="s">
        <v>249</v>
      </c>
      <c r="N11" s="23" t="s">
        <v>45</v>
      </c>
      <c r="O11" s="23" t="s">
        <v>491</v>
      </c>
      <c r="P11" s="23" t="s">
        <v>287</v>
      </c>
    </row>
    <row r="12">
      <c r="A12" s="4" t="s">
        <v>710</v>
      </c>
      <c r="B12" s="25" t="s">
        <v>108</v>
      </c>
      <c r="C12" s="25" t="s">
        <v>55</v>
      </c>
      <c r="D12" s="25"/>
      <c r="E12" s="25" t="s">
        <v>1149</v>
      </c>
      <c r="F12" s="25" t="s">
        <v>67</v>
      </c>
      <c r="G12" s="25" t="s">
        <v>68</v>
      </c>
      <c r="H12" s="27">
        <v>154.05</v>
      </c>
      <c r="I12" s="25" t="s">
        <v>1150</v>
      </c>
      <c r="J12" s="25" t="s">
        <v>1149</v>
      </c>
      <c r="K12" s="25" t="s">
        <v>1151</v>
      </c>
      <c r="L12" s="25" t="s">
        <v>1152</v>
      </c>
      <c r="M12" s="25" t="s">
        <v>1153</v>
      </c>
      <c r="N12" s="25" t="s">
        <v>45</v>
      </c>
      <c r="O12" s="25" t="s">
        <v>1154</v>
      </c>
      <c r="P12" s="25" t="s">
        <v>403</v>
      </c>
    </row>
    <row r="13">
      <c r="A13" s="4" t="s">
        <v>710</v>
      </c>
      <c r="B13" s="23" t="s">
        <v>65</v>
      </c>
      <c r="C13" s="23" t="s">
        <v>55</v>
      </c>
      <c r="D13" s="23"/>
      <c r="E13" s="23" t="s">
        <v>66</v>
      </c>
      <c r="F13" s="23" t="s">
        <v>67</v>
      </c>
      <c r="G13" s="23" t="s">
        <v>68</v>
      </c>
      <c r="H13" s="28">
        <v>220.4</v>
      </c>
      <c r="I13" s="23" t="s">
        <v>1241</v>
      </c>
      <c r="J13" s="23" t="s">
        <v>66</v>
      </c>
      <c r="K13" s="23" t="s">
        <v>70</v>
      </c>
      <c r="L13" s="23" t="s">
        <v>71</v>
      </c>
      <c r="M13" s="23" t="s">
        <v>72</v>
      </c>
      <c r="N13" s="23" t="s">
        <v>45</v>
      </c>
      <c r="O13" s="23" t="s">
        <v>1242</v>
      </c>
      <c r="P13" s="23" t="s">
        <v>74</v>
      </c>
    </row>
    <row r="14">
      <c r="A14" s="4" t="s">
        <v>710</v>
      </c>
      <c r="B14" s="25" t="s">
        <v>131</v>
      </c>
      <c r="C14" s="25" t="s">
        <v>55</v>
      </c>
      <c r="D14" s="25"/>
      <c r="E14" s="25" t="s">
        <v>1245</v>
      </c>
      <c r="F14" s="25" t="s">
        <v>67</v>
      </c>
      <c r="G14" s="25" t="s">
        <v>68</v>
      </c>
      <c r="H14" s="27">
        <v>226.79</v>
      </c>
      <c r="I14" s="25" t="s">
        <v>1246</v>
      </c>
      <c r="J14" s="25" t="s">
        <v>1245</v>
      </c>
      <c r="K14" s="25" t="s">
        <v>1247</v>
      </c>
      <c r="L14" s="25" t="s">
        <v>87</v>
      </c>
      <c r="M14" s="25" t="s">
        <v>1248</v>
      </c>
      <c r="N14" s="25" t="s">
        <v>45</v>
      </c>
      <c r="O14" s="25" t="s">
        <v>1249</v>
      </c>
      <c r="P14" s="25" t="s">
        <v>107</v>
      </c>
    </row>
    <row r="15">
      <c r="A15" s="4" t="s">
        <v>710</v>
      </c>
      <c r="B15" s="25" t="s">
        <v>108</v>
      </c>
      <c r="C15" s="25" t="s">
        <v>55</v>
      </c>
      <c r="D15" s="25"/>
      <c r="E15" s="25" t="s">
        <v>66</v>
      </c>
      <c r="F15" s="25" t="s">
        <v>67</v>
      </c>
      <c r="G15" s="25" t="s">
        <v>68</v>
      </c>
      <c r="H15" s="27">
        <v>241.34</v>
      </c>
      <c r="I15" s="25" t="s">
        <v>1254</v>
      </c>
      <c r="J15" s="25" t="s">
        <v>66</v>
      </c>
      <c r="K15" s="25" t="s">
        <v>70</v>
      </c>
      <c r="L15" s="25" t="s">
        <v>71</v>
      </c>
      <c r="M15" s="25" t="s">
        <v>72</v>
      </c>
      <c r="N15" s="25" t="s">
        <v>45</v>
      </c>
      <c r="O15" s="25" t="s">
        <v>1255</v>
      </c>
      <c r="P15" s="25" t="s">
        <v>74</v>
      </c>
    </row>
    <row r="16">
      <c r="A16" s="4" t="s">
        <v>710</v>
      </c>
      <c r="B16" s="25" t="s">
        <v>54</v>
      </c>
      <c r="C16" s="25" t="s">
        <v>55</v>
      </c>
      <c r="D16" s="25"/>
      <c r="E16" s="25" t="s">
        <v>1270</v>
      </c>
      <c r="F16" s="25" t="s">
        <v>67</v>
      </c>
      <c r="G16" s="25" t="s">
        <v>68</v>
      </c>
      <c r="H16" s="27">
        <v>258.68</v>
      </c>
      <c r="I16" s="25" t="s">
        <v>1271</v>
      </c>
      <c r="J16" s="25" t="s">
        <v>1270</v>
      </c>
      <c r="K16" s="25" t="s">
        <v>1272</v>
      </c>
      <c r="L16" s="25" t="s">
        <v>1273</v>
      </c>
      <c r="M16" s="25" t="s">
        <v>1274</v>
      </c>
      <c r="N16" s="25" t="s">
        <v>45</v>
      </c>
      <c r="O16" s="25" t="s">
        <v>1275</v>
      </c>
      <c r="P16" s="25" t="s">
        <v>107</v>
      </c>
    </row>
    <row r="17">
      <c r="A17" s="4" t="s">
        <v>710</v>
      </c>
      <c r="B17" s="25" t="s">
        <v>54</v>
      </c>
      <c r="C17" s="25" t="s">
        <v>55</v>
      </c>
      <c r="D17" s="25"/>
      <c r="E17" s="25" t="s">
        <v>1367</v>
      </c>
      <c r="F17" s="25" t="s">
        <v>67</v>
      </c>
      <c r="G17" s="25" t="s">
        <v>68</v>
      </c>
      <c r="H17" s="27">
        <v>832.5</v>
      </c>
      <c r="I17" s="25" t="s">
        <v>1368</v>
      </c>
      <c r="J17" s="25" t="s">
        <v>1367</v>
      </c>
      <c r="K17" s="25" t="s">
        <v>1369</v>
      </c>
      <c r="L17" s="25" t="s">
        <v>1313</v>
      </c>
      <c r="M17" s="25" t="s">
        <v>1370</v>
      </c>
      <c r="N17" s="25" t="s">
        <v>45</v>
      </c>
      <c r="O17" s="25" t="s">
        <v>1371</v>
      </c>
      <c r="P17" s="25" t="s">
        <v>417</v>
      </c>
    </row>
    <row r="18">
      <c r="H18" s="29"/>
    </row>
    <row r="19">
      <c r="F19" s="23" t="s">
        <v>14</v>
      </c>
      <c r="H19" s="29">
        <f>SUM(H2:H18)</f>
        <v>3957.28</v>
      </c>
    </row>
    <row r="21" ht="15.75" customHeight="1">
      <c r="F21" s="5" t="s">
        <v>5</v>
      </c>
      <c r="G21" s="5"/>
      <c r="H21" s="5"/>
      <c r="I21" s="5" t="s">
        <v>7</v>
      </c>
      <c r="J21" s="5" t="s">
        <v>8</v>
      </c>
      <c r="K21" s="5" t="s">
        <v>9</v>
      </c>
    </row>
    <row r="22" ht="15.75" customHeight="1">
      <c r="F22" s="7" t="s">
        <v>10</v>
      </c>
      <c r="H22" s="7">
        <f>SUMIF($A$2:$A$17,"no",$H$2:$H$17)</f>
        <v>2023.52</v>
      </c>
      <c r="I22" s="7">
        <f>COUNTIF(A2:A17,"no")</f>
        <v>10</v>
      </c>
      <c r="J22" s="9">
        <f t="shared" ref="J22:K22" si="1">H22/H24</f>
        <v>0.5113411232</v>
      </c>
      <c r="K22" s="9">
        <f t="shared" si="1"/>
        <v>0.625</v>
      </c>
    </row>
    <row r="23" ht="15.75" customHeight="1">
      <c r="F23" s="4" t="s">
        <v>11</v>
      </c>
      <c r="H23" s="4">
        <f>SUMIF($A$2:$A$17,"yes",$H$2:$H$17)</f>
        <v>1933.76</v>
      </c>
      <c r="I23" s="4">
        <f>COUNTIF(A2:A17,"yes")</f>
        <v>6</v>
      </c>
      <c r="J23" s="10">
        <f t="shared" ref="J23:K23" si="2">H23/H24</f>
        <v>0.4886588768</v>
      </c>
      <c r="K23" s="10">
        <f t="shared" si="2"/>
        <v>0.375</v>
      </c>
    </row>
    <row r="24" ht="15.75" customHeight="1">
      <c r="F24" s="4" t="s">
        <v>14</v>
      </c>
      <c r="H24" s="4">
        <f t="shared" ref="H24:I24" si="3">SUM(H22:H23)</f>
        <v>3957.28</v>
      </c>
      <c r="I24" s="4">
        <f t="shared" si="3"/>
        <v>16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H30" s="2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7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10.75"/>
    <col customWidth="1" hidden="1" min="3" max="4" width="7.75"/>
    <col customWidth="1" min="5" max="5" width="26.25"/>
    <col customWidth="1" min="6" max="6" width="15.75"/>
    <col customWidth="1" hidden="1" min="7" max="7" width="9.63"/>
    <col customWidth="1" min="8" max="8" width="12.63"/>
    <col customWidth="1" min="9" max="9" width="45.88"/>
    <col customWidth="1" min="10" max="10" width="26.25"/>
    <col customWidth="1" min="11" max="11" width="26.0"/>
    <col customWidth="1" min="12" max="12" width="17.88"/>
    <col customWidth="1" min="13" max="13" width="10.75"/>
    <col customWidth="1" min="14" max="26" width="26.25"/>
  </cols>
  <sheetData>
    <row r="1">
      <c r="A1" s="4" t="s">
        <v>22</v>
      </c>
      <c r="B1" s="15" t="s">
        <v>23</v>
      </c>
      <c r="C1" s="15" t="s">
        <v>24</v>
      </c>
      <c r="D1" s="15"/>
      <c r="E1" s="15" t="s">
        <v>25</v>
      </c>
      <c r="F1" s="15" t="s">
        <v>26</v>
      </c>
      <c r="G1" s="15" t="s">
        <v>27</v>
      </c>
      <c r="H1" s="30" t="s">
        <v>6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  <c r="N1" s="15" t="s">
        <v>33</v>
      </c>
      <c r="O1" s="15" t="s">
        <v>34</v>
      </c>
      <c r="P1" s="15" t="s">
        <v>35</v>
      </c>
    </row>
    <row r="2">
      <c r="A2" s="4" t="s">
        <v>36</v>
      </c>
      <c r="B2" s="23" t="s">
        <v>123</v>
      </c>
      <c r="C2" s="23" t="s">
        <v>55</v>
      </c>
      <c r="D2" s="23"/>
      <c r="E2" s="23" t="s">
        <v>126</v>
      </c>
      <c r="F2" s="23" t="s">
        <v>127</v>
      </c>
      <c r="G2" s="23" t="s">
        <v>128</v>
      </c>
      <c r="H2" s="31">
        <v>13.66</v>
      </c>
      <c r="I2" s="23" t="s">
        <v>129</v>
      </c>
      <c r="J2" s="23" t="s">
        <v>126</v>
      </c>
      <c r="K2" s="23" t="s">
        <v>96</v>
      </c>
      <c r="L2" s="23" t="s">
        <v>97</v>
      </c>
      <c r="M2" s="23" t="s">
        <v>98</v>
      </c>
      <c r="N2" s="23" t="s">
        <v>45</v>
      </c>
      <c r="O2" s="23" t="s">
        <v>130</v>
      </c>
      <c r="P2" s="23" t="s">
        <v>64</v>
      </c>
    </row>
    <row r="3">
      <c r="A3" s="4" t="s">
        <v>36</v>
      </c>
      <c r="B3" s="25" t="s">
        <v>131</v>
      </c>
      <c r="C3" s="25" t="s">
        <v>55</v>
      </c>
      <c r="D3" s="25"/>
      <c r="E3" s="25" t="s">
        <v>92</v>
      </c>
      <c r="F3" s="25" t="s">
        <v>127</v>
      </c>
      <c r="G3" s="25" t="s">
        <v>128</v>
      </c>
      <c r="H3" s="32">
        <v>13.86</v>
      </c>
      <c r="I3" s="25" t="s">
        <v>132</v>
      </c>
      <c r="J3" s="25" t="s">
        <v>92</v>
      </c>
      <c r="K3" s="25" t="s">
        <v>96</v>
      </c>
      <c r="L3" s="25" t="s">
        <v>97</v>
      </c>
      <c r="M3" s="25" t="s">
        <v>98</v>
      </c>
      <c r="N3" s="25" t="s">
        <v>45</v>
      </c>
      <c r="O3" s="25" t="s">
        <v>133</v>
      </c>
      <c r="P3" s="25" t="s">
        <v>64</v>
      </c>
    </row>
    <row r="4">
      <c r="A4" s="4" t="s">
        <v>36</v>
      </c>
      <c r="B4" s="23" t="s">
        <v>91</v>
      </c>
      <c r="C4" s="23" t="s">
        <v>55</v>
      </c>
      <c r="D4" s="23"/>
      <c r="E4" s="23" t="s">
        <v>163</v>
      </c>
      <c r="F4" s="23" t="s">
        <v>127</v>
      </c>
      <c r="G4" s="23" t="s">
        <v>128</v>
      </c>
      <c r="H4" s="31">
        <v>22.03</v>
      </c>
      <c r="I4" s="23" t="s">
        <v>164</v>
      </c>
      <c r="J4" s="23" t="s">
        <v>163</v>
      </c>
      <c r="K4" s="23" t="s">
        <v>165</v>
      </c>
      <c r="L4" s="23" t="s">
        <v>142</v>
      </c>
      <c r="M4" s="23" t="s">
        <v>166</v>
      </c>
      <c r="N4" s="23" t="s">
        <v>45</v>
      </c>
      <c r="O4" s="23" t="s">
        <v>167</v>
      </c>
      <c r="P4" s="23" t="s">
        <v>114</v>
      </c>
    </row>
    <row r="5">
      <c r="A5" s="4" t="s">
        <v>168</v>
      </c>
      <c r="B5" s="25" t="s">
        <v>108</v>
      </c>
      <c r="C5" s="25" t="s">
        <v>55</v>
      </c>
      <c r="D5" s="25"/>
      <c r="E5" s="25" t="s">
        <v>192</v>
      </c>
      <c r="F5" s="25" t="s">
        <v>127</v>
      </c>
      <c r="G5" s="25" t="s">
        <v>128</v>
      </c>
      <c r="H5" s="32">
        <v>32.55</v>
      </c>
      <c r="I5" s="25" t="s">
        <v>193</v>
      </c>
      <c r="J5" s="25" t="s">
        <v>192</v>
      </c>
      <c r="K5" s="25" t="s">
        <v>194</v>
      </c>
      <c r="L5" s="25" t="s">
        <v>142</v>
      </c>
      <c r="M5" s="25" t="s">
        <v>166</v>
      </c>
      <c r="N5" s="25" t="s">
        <v>45</v>
      </c>
      <c r="O5" s="25" t="s">
        <v>195</v>
      </c>
      <c r="P5" s="25" t="s">
        <v>114</v>
      </c>
    </row>
    <row r="6">
      <c r="A6" s="4" t="s">
        <v>168</v>
      </c>
      <c r="B6" s="25" t="s">
        <v>123</v>
      </c>
      <c r="C6" s="25" t="s">
        <v>55</v>
      </c>
      <c r="D6" s="25"/>
      <c r="E6" s="25" t="s">
        <v>126</v>
      </c>
      <c r="F6" s="25" t="s">
        <v>127</v>
      </c>
      <c r="G6" s="25" t="s">
        <v>128</v>
      </c>
      <c r="H6" s="32">
        <v>39.86</v>
      </c>
      <c r="I6" s="25" t="s">
        <v>207</v>
      </c>
      <c r="J6" s="25" t="s">
        <v>126</v>
      </c>
      <c r="K6" s="25" t="s">
        <v>208</v>
      </c>
      <c r="L6" s="25" t="s">
        <v>97</v>
      </c>
      <c r="M6" s="25" t="s">
        <v>98</v>
      </c>
      <c r="N6" s="25" t="s">
        <v>45</v>
      </c>
      <c r="O6" s="25" t="s">
        <v>209</v>
      </c>
      <c r="P6" s="25" t="s">
        <v>64</v>
      </c>
    </row>
    <row r="7">
      <c r="A7" s="4" t="s">
        <v>36</v>
      </c>
      <c r="B7" s="25" t="s">
        <v>91</v>
      </c>
      <c r="C7" s="25" t="s">
        <v>55</v>
      </c>
      <c r="D7" s="25"/>
      <c r="E7" s="25" t="s">
        <v>215</v>
      </c>
      <c r="F7" s="25" t="s">
        <v>127</v>
      </c>
      <c r="G7" s="25" t="s">
        <v>128</v>
      </c>
      <c r="H7" s="32">
        <v>42.75</v>
      </c>
      <c r="I7" s="25" t="s">
        <v>216</v>
      </c>
      <c r="J7" s="25" t="s">
        <v>215</v>
      </c>
      <c r="K7" s="25" t="s">
        <v>217</v>
      </c>
      <c r="L7" s="25" t="s">
        <v>218</v>
      </c>
      <c r="M7" s="25" t="s">
        <v>219</v>
      </c>
      <c r="N7" s="25" t="s">
        <v>45</v>
      </c>
      <c r="O7" s="25" t="s">
        <v>220</v>
      </c>
      <c r="P7" s="25" t="s">
        <v>221</v>
      </c>
    </row>
    <row r="8">
      <c r="A8" s="4" t="s">
        <v>168</v>
      </c>
      <c r="B8" s="23" t="s">
        <v>123</v>
      </c>
      <c r="C8" s="23" t="s">
        <v>55</v>
      </c>
      <c r="D8" s="23"/>
      <c r="E8" s="23" t="s">
        <v>445</v>
      </c>
      <c r="F8" s="23" t="s">
        <v>127</v>
      </c>
      <c r="G8" s="23" t="s">
        <v>128</v>
      </c>
      <c r="H8" s="31">
        <v>307.25</v>
      </c>
      <c r="I8" s="23" t="s">
        <v>446</v>
      </c>
      <c r="J8" s="23" t="s">
        <v>445</v>
      </c>
      <c r="K8" s="23" t="s">
        <v>447</v>
      </c>
      <c r="L8" s="23" t="s">
        <v>142</v>
      </c>
      <c r="M8" s="23" t="s">
        <v>143</v>
      </c>
      <c r="N8" s="23" t="s">
        <v>45</v>
      </c>
      <c r="O8" s="23" t="s">
        <v>448</v>
      </c>
      <c r="P8" s="23" t="s">
        <v>182</v>
      </c>
    </row>
    <row r="9">
      <c r="A9" s="4" t="s">
        <v>36</v>
      </c>
      <c r="B9" s="25" t="s">
        <v>367</v>
      </c>
      <c r="C9" s="25" t="s">
        <v>55</v>
      </c>
      <c r="D9" s="25"/>
      <c r="E9" s="25" t="s">
        <v>465</v>
      </c>
      <c r="F9" s="25" t="s">
        <v>127</v>
      </c>
      <c r="G9" s="25" t="s">
        <v>128</v>
      </c>
      <c r="H9" s="32">
        <v>406.92</v>
      </c>
      <c r="I9" s="25" t="s">
        <v>466</v>
      </c>
      <c r="J9" s="25" t="s">
        <v>465</v>
      </c>
      <c r="K9" s="25" t="s">
        <v>467</v>
      </c>
      <c r="L9" s="25" t="s">
        <v>142</v>
      </c>
      <c r="M9" s="25" t="s">
        <v>468</v>
      </c>
      <c r="N9" s="25" t="s">
        <v>45</v>
      </c>
      <c r="O9" s="25" t="s">
        <v>469</v>
      </c>
      <c r="P9" s="25" t="s">
        <v>308</v>
      </c>
    </row>
    <row r="10">
      <c r="A10" s="4" t="s">
        <v>168</v>
      </c>
      <c r="B10" s="23" t="s">
        <v>367</v>
      </c>
      <c r="C10" s="23" t="s">
        <v>55</v>
      </c>
      <c r="D10" s="23"/>
      <c r="E10" s="23" t="s">
        <v>465</v>
      </c>
      <c r="F10" s="23" t="s">
        <v>127</v>
      </c>
      <c r="G10" s="23" t="s">
        <v>128</v>
      </c>
      <c r="H10" s="31">
        <v>406.92</v>
      </c>
      <c r="I10" s="23" t="s">
        <v>470</v>
      </c>
      <c r="J10" s="23" t="s">
        <v>465</v>
      </c>
      <c r="K10" s="23" t="s">
        <v>467</v>
      </c>
      <c r="L10" s="23" t="s">
        <v>142</v>
      </c>
      <c r="M10" s="23" t="s">
        <v>468</v>
      </c>
      <c r="N10" s="23" t="s">
        <v>45</v>
      </c>
      <c r="O10" s="23" t="s">
        <v>471</v>
      </c>
      <c r="P10" s="23" t="s">
        <v>308</v>
      </c>
    </row>
    <row r="11">
      <c r="A11" s="4" t="s">
        <v>168</v>
      </c>
      <c r="B11" s="23" t="s">
        <v>233</v>
      </c>
      <c r="C11" s="23" t="s">
        <v>55</v>
      </c>
      <c r="D11" s="23"/>
      <c r="E11" s="23" t="s">
        <v>465</v>
      </c>
      <c r="F11" s="23" t="s">
        <v>127</v>
      </c>
      <c r="G11" s="23" t="s">
        <v>128</v>
      </c>
      <c r="H11" s="31">
        <v>533.68</v>
      </c>
      <c r="I11" s="23" t="s">
        <v>472</v>
      </c>
      <c r="J11" s="23" t="s">
        <v>465</v>
      </c>
      <c r="K11" s="23" t="s">
        <v>467</v>
      </c>
      <c r="L11" s="23" t="s">
        <v>142</v>
      </c>
      <c r="M11" s="23" t="s">
        <v>468</v>
      </c>
      <c r="N11" s="23" t="s">
        <v>45</v>
      </c>
      <c r="O11" s="23" t="s">
        <v>473</v>
      </c>
      <c r="P11" s="23" t="s">
        <v>308</v>
      </c>
    </row>
    <row r="12">
      <c r="A12" s="22" t="s">
        <v>168</v>
      </c>
      <c r="B12" s="25" t="s">
        <v>233</v>
      </c>
      <c r="C12" s="25" t="s">
        <v>55</v>
      </c>
      <c r="D12" s="25"/>
      <c r="E12" s="25" t="s">
        <v>465</v>
      </c>
      <c r="F12" s="25" t="s">
        <v>127</v>
      </c>
      <c r="G12" s="25" t="s">
        <v>128</v>
      </c>
      <c r="H12" s="32">
        <v>533.68</v>
      </c>
      <c r="I12" s="25" t="s">
        <v>474</v>
      </c>
      <c r="J12" s="25" t="s">
        <v>465</v>
      </c>
      <c r="K12" s="25" t="s">
        <v>467</v>
      </c>
      <c r="L12" s="25" t="s">
        <v>142</v>
      </c>
      <c r="M12" s="25" t="s">
        <v>468</v>
      </c>
      <c r="N12" s="25" t="s">
        <v>45</v>
      </c>
      <c r="O12" s="25" t="s">
        <v>475</v>
      </c>
      <c r="P12" s="25" t="s">
        <v>308</v>
      </c>
    </row>
    <row r="13">
      <c r="A13" s="4" t="s">
        <v>168</v>
      </c>
      <c r="B13" s="23" t="s">
        <v>183</v>
      </c>
      <c r="C13" s="23" t="s">
        <v>55</v>
      </c>
      <c r="D13" s="23"/>
      <c r="E13" s="23" t="s">
        <v>476</v>
      </c>
      <c r="F13" s="23" t="s">
        <v>127</v>
      </c>
      <c r="G13" s="23" t="s">
        <v>128</v>
      </c>
      <c r="H13" s="31">
        <v>544.08</v>
      </c>
      <c r="I13" s="23" t="s">
        <v>477</v>
      </c>
      <c r="J13" s="23" t="s">
        <v>476</v>
      </c>
      <c r="K13" s="23" t="s">
        <v>478</v>
      </c>
      <c r="L13" s="23" t="s">
        <v>142</v>
      </c>
      <c r="M13" s="23" t="s">
        <v>479</v>
      </c>
      <c r="N13" s="23" t="s">
        <v>45</v>
      </c>
      <c r="O13" s="23" t="s">
        <v>480</v>
      </c>
      <c r="P13" s="23" t="s">
        <v>308</v>
      </c>
    </row>
    <row r="14">
      <c r="A14" s="22" t="s">
        <v>168</v>
      </c>
      <c r="B14" s="23" t="s">
        <v>147</v>
      </c>
      <c r="C14" s="23" t="s">
        <v>55</v>
      </c>
      <c r="D14" s="23"/>
      <c r="E14" s="23" t="s">
        <v>476</v>
      </c>
      <c r="F14" s="23" t="s">
        <v>127</v>
      </c>
      <c r="G14" s="23" t="s">
        <v>128</v>
      </c>
      <c r="H14" s="31">
        <v>544.08</v>
      </c>
      <c r="I14" s="23" t="s">
        <v>481</v>
      </c>
      <c r="J14" s="23" t="s">
        <v>476</v>
      </c>
      <c r="K14" s="23" t="s">
        <v>478</v>
      </c>
      <c r="L14" s="23" t="s">
        <v>142</v>
      </c>
      <c r="M14" s="23" t="s">
        <v>479</v>
      </c>
      <c r="N14" s="23" t="s">
        <v>45</v>
      </c>
      <c r="O14" s="23" t="s">
        <v>482</v>
      </c>
      <c r="P14" s="23" t="s">
        <v>308</v>
      </c>
    </row>
    <row r="15">
      <c r="A15" s="4" t="s">
        <v>506</v>
      </c>
      <c r="B15" s="25" t="s">
        <v>37</v>
      </c>
      <c r="C15" s="25" t="s">
        <v>55</v>
      </c>
      <c r="D15" s="25"/>
      <c r="E15" s="25" t="s">
        <v>515</v>
      </c>
      <c r="F15" s="25" t="s">
        <v>127</v>
      </c>
      <c r="G15" s="25" t="s">
        <v>128</v>
      </c>
      <c r="H15" s="32">
        <v>4.04</v>
      </c>
      <c r="I15" s="25" t="s">
        <v>516</v>
      </c>
      <c r="J15" s="25" t="s">
        <v>515</v>
      </c>
      <c r="K15" s="25" t="s">
        <v>517</v>
      </c>
      <c r="L15" s="25" t="s">
        <v>142</v>
      </c>
      <c r="M15" s="25" t="s">
        <v>143</v>
      </c>
      <c r="N15" s="25" t="s">
        <v>45</v>
      </c>
      <c r="O15" s="25" t="s">
        <v>518</v>
      </c>
      <c r="P15" s="25" t="s">
        <v>64</v>
      </c>
    </row>
    <row r="16">
      <c r="A16" s="4" t="s">
        <v>506</v>
      </c>
      <c r="B16" s="25" t="s">
        <v>290</v>
      </c>
      <c r="C16" s="25" t="s">
        <v>55</v>
      </c>
      <c r="D16" s="25"/>
      <c r="E16" s="25" t="s">
        <v>515</v>
      </c>
      <c r="F16" s="25" t="s">
        <v>127</v>
      </c>
      <c r="G16" s="25" t="s">
        <v>128</v>
      </c>
      <c r="H16" s="32">
        <v>5.05</v>
      </c>
      <c r="I16" s="25" t="s">
        <v>519</v>
      </c>
      <c r="J16" s="25" t="s">
        <v>515</v>
      </c>
      <c r="K16" s="25" t="s">
        <v>517</v>
      </c>
      <c r="L16" s="25" t="s">
        <v>142</v>
      </c>
      <c r="M16" s="25" t="s">
        <v>143</v>
      </c>
      <c r="N16" s="25" t="s">
        <v>45</v>
      </c>
      <c r="O16" s="25" t="s">
        <v>520</v>
      </c>
      <c r="P16" s="25" t="s">
        <v>64</v>
      </c>
    </row>
    <row r="17">
      <c r="A17" s="4" t="s">
        <v>506</v>
      </c>
      <c r="B17" s="23" t="s">
        <v>257</v>
      </c>
      <c r="C17" s="23" t="s">
        <v>55</v>
      </c>
      <c r="D17" s="23"/>
      <c r="E17" s="23" t="s">
        <v>544</v>
      </c>
      <c r="F17" s="23" t="s">
        <v>127</v>
      </c>
      <c r="G17" s="23" t="s">
        <v>128</v>
      </c>
      <c r="H17" s="31">
        <v>10.52</v>
      </c>
      <c r="I17" s="23" t="s">
        <v>545</v>
      </c>
      <c r="J17" s="23" t="s">
        <v>544</v>
      </c>
      <c r="K17" s="23" t="s">
        <v>546</v>
      </c>
      <c r="L17" s="23" t="s">
        <v>119</v>
      </c>
      <c r="M17" s="23" t="s">
        <v>231</v>
      </c>
      <c r="N17" s="23" t="s">
        <v>45</v>
      </c>
      <c r="O17" s="23" t="s">
        <v>547</v>
      </c>
      <c r="P17" s="23" t="s">
        <v>174</v>
      </c>
    </row>
    <row r="18">
      <c r="A18" s="4" t="s">
        <v>506</v>
      </c>
      <c r="B18" s="23" t="s">
        <v>65</v>
      </c>
      <c r="C18" s="23" t="s">
        <v>55</v>
      </c>
      <c r="D18" s="23"/>
      <c r="E18" s="23" t="s">
        <v>192</v>
      </c>
      <c r="F18" s="23" t="s">
        <v>127</v>
      </c>
      <c r="G18" s="23" t="s">
        <v>128</v>
      </c>
      <c r="H18" s="31">
        <v>11.97</v>
      </c>
      <c r="I18" s="23" t="s">
        <v>578</v>
      </c>
      <c r="J18" s="23" t="s">
        <v>192</v>
      </c>
      <c r="K18" s="23" t="s">
        <v>194</v>
      </c>
      <c r="L18" s="23" t="s">
        <v>142</v>
      </c>
      <c r="M18" s="23" t="s">
        <v>166</v>
      </c>
      <c r="N18" s="23" t="s">
        <v>45</v>
      </c>
      <c r="O18" s="23" t="s">
        <v>579</v>
      </c>
      <c r="P18" s="23" t="s">
        <v>114</v>
      </c>
    </row>
    <row r="19">
      <c r="A19" s="4" t="s">
        <v>506</v>
      </c>
      <c r="B19" s="23" t="s">
        <v>115</v>
      </c>
      <c r="C19" s="23" t="s">
        <v>55</v>
      </c>
      <c r="D19" s="23"/>
      <c r="E19" s="23" t="s">
        <v>92</v>
      </c>
      <c r="F19" s="23" t="s">
        <v>127</v>
      </c>
      <c r="G19" s="23" t="s">
        <v>128</v>
      </c>
      <c r="H19" s="31">
        <v>12.19</v>
      </c>
      <c r="I19" s="23" t="s">
        <v>585</v>
      </c>
      <c r="J19" s="23" t="s">
        <v>92</v>
      </c>
      <c r="K19" s="23" t="s">
        <v>96</v>
      </c>
      <c r="L19" s="23" t="s">
        <v>97</v>
      </c>
      <c r="M19" s="23" t="s">
        <v>98</v>
      </c>
      <c r="N19" s="23" t="s">
        <v>45</v>
      </c>
      <c r="O19" s="23" t="s">
        <v>586</v>
      </c>
      <c r="P19" s="23" t="s">
        <v>64</v>
      </c>
    </row>
    <row r="20">
      <c r="A20" s="4" t="s">
        <v>506</v>
      </c>
      <c r="B20" s="23" t="s">
        <v>367</v>
      </c>
      <c r="C20" s="23" t="s">
        <v>55</v>
      </c>
      <c r="D20" s="23"/>
      <c r="E20" s="23" t="s">
        <v>587</v>
      </c>
      <c r="F20" s="23" t="s">
        <v>127</v>
      </c>
      <c r="G20" s="23" t="s">
        <v>128</v>
      </c>
      <c r="H20" s="31">
        <v>12.25</v>
      </c>
      <c r="I20" s="23" t="s">
        <v>588</v>
      </c>
      <c r="J20" s="23" t="s">
        <v>587</v>
      </c>
      <c r="K20" s="23" t="s">
        <v>589</v>
      </c>
      <c r="L20" s="23" t="s">
        <v>142</v>
      </c>
      <c r="M20" s="23" t="s">
        <v>166</v>
      </c>
      <c r="N20" s="23" t="s">
        <v>45</v>
      </c>
      <c r="O20" s="23" t="s">
        <v>590</v>
      </c>
      <c r="P20" s="23" t="s">
        <v>64</v>
      </c>
    </row>
    <row r="21" ht="15.75" customHeight="1">
      <c r="A21" s="4" t="s">
        <v>506</v>
      </c>
      <c r="B21" s="23" t="s">
        <v>196</v>
      </c>
      <c r="C21" s="23" t="s">
        <v>55</v>
      </c>
      <c r="D21" s="23"/>
      <c r="E21" s="23" t="s">
        <v>92</v>
      </c>
      <c r="F21" s="23" t="s">
        <v>127</v>
      </c>
      <c r="G21" s="23" t="s">
        <v>128</v>
      </c>
      <c r="H21" s="31">
        <v>12.96</v>
      </c>
      <c r="I21" s="23" t="s">
        <v>597</v>
      </c>
      <c r="J21" s="23" t="s">
        <v>92</v>
      </c>
      <c r="K21" s="23" t="s">
        <v>96</v>
      </c>
      <c r="L21" s="23" t="s">
        <v>97</v>
      </c>
      <c r="M21" s="23" t="s">
        <v>98</v>
      </c>
      <c r="N21" s="23" t="s">
        <v>45</v>
      </c>
      <c r="O21" s="23" t="s">
        <v>598</v>
      </c>
      <c r="P21" s="23" t="s">
        <v>64</v>
      </c>
    </row>
    <row r="22" ht="15.75" customHeight="1">
      <c r="A22" s="4" t="s">
        <v>506</v>
      </c>
      <c r="B22" s="25" t="s">
        <v>65</v>
      </c>
      <c r="C22" s="25" t="s">
        <v>55</v>
      </c>
      <c r="D22" s="25"/>
      <c r="E22" s="25" t="s">
        <v>92</v>
      </c>
      <c r="F22" s="25" t="s">
        <v>127</v>
      </c>
      <c r="G22" s="25" t="s">
        <v>128</v>
      </c>
      <c r="H22" s="32">
        <v>15.03</v>
      </c>
      <c r="I22" s="25" t="s">
        <v>624</v>
      </c>
      <c r="J22" s="25" t="s">
        <v>92</v>
      </c>
      <c r="K22" s="25" t="s">
        <v>96</v>
      </c>
      <c r="L22" s="25" t="s">
        <v>97</v>
      </c>
      <c r="M22" s="25" t="s">
        <v>98</v>
      </c>
      <c r="N22" s="25" t="s">
        <v>45</v>
      </c>
      <c r="O22" s="25" t="s">
        <v>625</v>
      </c>
      <c r="P22" s="25" t="s">
        <v>64</v>
      </c>
    </row>
    <row r="23" ht="15.75" customHeight="1">
      <c r="A23" s="4" t="s">
        <v>506</v>
      </c>
      <c r="B23" s="25" t="s">
        <v>54</v>
      </c>
      <c r="C23" s="25" t="s">
        <v>55</v>
      </c>
      <c r="D23" s="25"/>
      <c r="E23" s="25" t="s">
        <v>636</v>
      </c>
      <c r="F23" s="25" t="s">
        <v>127</v>
      </c>
      <c r="G23" s="25" t="s">
        <v>128</v>
      </c>
      <c r="H23" s="32">
        <v>15.92</v>
      </c>
      <c r="I23" s="25" t="s">
        <v>637</v>
      </c>
      <c r="J23" s="25" t="s">
        <v>636</v>
      </c>
      <c r="K23" s="25" t="s">
        <v>638</v>
      </c>
      <c r="L23" s="25" t="s">
        <v>613</v>
      </c>
      <c r="M23" s="25" t="s">
        <v>614</v>
      </c>
      <c r="N23" s="25" t="s">
        <v>45</v>
      </c>
      <c r="O23" s="25" t="s">
        <v>639</v>
      </c>
      <c r="P23" s="25" t="s">
        <v>74</v>
      </c>
    </row>
    <row r="24" ht="15.75" customHeight="1">
      <c r="A24" s="4" t="s">
        <v>506</v>
      </c>
      <c r="B24" s="25" t="s">
        <v>233</v>
      </c>
      <c r="C24" s="25" t="s">
        <v>55</v>
      </c>
      <c r="D24" s="25"/>
      <c r="E24" s="25" t="s">
        <v>587</v>
      </c>
      <c r="F24" s="25" t="s">
        <v>127</v>
      </c>
      <c r="G24" s="25" t="s">
        <v>128</v>
      </c>
      <c r="H24" s="32">
        <v>20.33</v>
      </c>
      <c r="I24" s="25" t="s">
        <v>663</v>
      </c>
      <c r="J24" s="25" t="s">
        <v>587</v>
      </c>
      <c r="K24" s="25" t="s">
        <v>589</v>
      </c>
      <c r="L24" s="25" t="s">
        <v>142</v>
      </c>
      <c r="M24" s="25" t="s">
        <v>166</v>
      </c>
      <c r="N24" s="25" t="s">
        <v>45</v>
      </c>
      <c r="O24" s="25" t="s">
        <v>664</v>
      </c>
      <c r="P24" s="25" t="s">
        <v>64</v>
      </c>
    </row>
    <row r="25" ht="15.75" customHeight="1">
      <c r="A25" s="4" t="s">
        <v>506</v>
      </c>
      <c r="B25" s="23" t="s">
        <v>83</v>
      </c>
      <c r="C25" s="23" t="s">
        <v>55</v>
      </c>
      <c r="D25" s="23"/>
      <c r="E25" s="23" t="s">
        <v>665</v>
      </c>
      <c r="F25" s="23" t="s">
        <v>127</v>
      </c>
      <c r="G25" s="23" t="s">
        <v>128</v>
      </c>
      <c r="H25" s="31">
        <v>21.01</v>
      </c>
      <c r="I25" s="23" t="s">
        <v>666</v>
      </c>
      <c r="J25" s="23" t="s">
        <v>665</v>
      </c>
      <c r="K25" s="23" t="s">
        <v>667</v>
      </c>
      <c r="L25" s="23" t="s">
        <v>142</v>
      </c>
      <c r="M25" s="23" t="s">
        <v>180</v>
      </c>
      <c r="N25" s="23" t="s">
        <v>45</v>
      </c>
      <c r="O25" s="23" t="s">
        <v>668</v>
      </c>
      <c r="P25" s="23" t="s">
        <v>174</v>
      </c>
    </row>
    <row r="26" ht="15.75" customHeight="1">
      <c r="A26" s="4" t="s">
        <v>506</v>
      </c>
      <c r="B26" s="23" t="s">
        <v>196</v>
      </c>
      <c r="C26" s="23" t="s">
        <v>55</v>
      </c>
      <c r="D26" s="23"/>
      <c r="E26" s="23" t="s">
        <v>680</v>
      </c>
      <c r="F26" s="23" t="s">
        <v>127</v>
      </c>
      <c r="G26" s="23" t="s">
        <v>128</v>
      </c>
      <c r="H26" s="31">
        <v>22.17</v>
      </c>
      <c r="I26" s="23" t="s">
        <v>681</v>
      </c>
      <c r="J26" s="23" t="s">
        <v>680</v>
      </c>
      <c r="K26" s="23" t="s">
        <v>682</v>
      </c>
      <c r="L26" s="23" t="s">
        <v>142</v>
      </c>
      <c r="M26" s="23" t="s">
        <v>166</v>
      </c>
      <c r="N26" s="23" t="s">
        <v>45</v>
      </c>
      <c r="O26" s="23" t="s">
        <v>683</v>
      </c>
      <c r="P26" s="23" t="s">
        <v>122</v>
      </c>
    </row>
    <row r="27" ht="15.75" customHeight="1">
      <c r="A27" s="4" t="s">
        <v>506</v>
      </c>
      <c r="B27" s="23" t="s">
        <v>156</v>
      </c>
      <c r="C27" s="23" t="s">
        <v>55</v>
      </c>
      <c r="D27" s="23"/>
      <c r="E27" s="23" t="s">
        <v>636</v>
      </c>
      <c r="F27" s="23" t="s">
        <v>127</v>
      </c>
      <c r="G27" s="23" t="s">
        <v>128</v>
      </c>
      <c r="H27" s="31">
        <v>22.64</v>
      </c>
      <c r="I27" s="23" t="s">
        <v>692</v>
      </c>
      <c r="J27" s="23" t="s">
        <v>636</v>
      </c>
      <c r="K27" s="23" t="s">
        <v>638</v>
      </c>
      <c r="L27" s="23" t="s">
        <v>613</v>
      </c>
      <c r="M27" s="23" t="s">
        <v>614</v>
      </c>
      <c r="N27" s="23" t="s">
        <v>45</v>
      </c>
      <c r="O27" s="23" t="s">
        <v>693</v>
      </c>
      <c r="P27" s="23" t="s">
        <v>74</v>
      </c>
    </row>
    <row r="28" ht="15.75" customHeight="1">
      <c r="A28" s="4" t="s">
        <v>506</v>
      </c>
      <c r="B28" s="25" t="s">
        <v>91</v>
      </c>
      <c r="C28" s="25" t="s">
        <v>55</v>
      </c>
      <c r="D28" s="25"/>
      <c r="E28" s="25" t="s">
        <v>636</v>
      </c>
      <c r="F28" s="25" t="s">
        <v>127</v>
      </c>
      <c r="G28" s="25" t="s">
        <v>128</v>
      </c>
      <c r="H28" s="32">
        <v>22.64</v>
      </c>
      <c r="I28" s="25" t="s">
        <v>694</v>
      </c>
      <c r="J28" s="25" t="s">
        <v>636</v>
      </c>
      <c r="K28" s="25" t="s">
        <v>638</v>
      </c>
      <c r="L28" s="25" t="s">
        <v>613</v>
      </c>
      <c r="M28" s="25" t="s">
        <v>614</v>
      </c>
      <c r="N28" s="25" t="s">
        <v>45</v>
      </c>
      <c r="O28" s="25" t="s">
        <v>695</v>
      </c>
      <c r="P28" s="25" t="s">
        <v>74</v>
      </c>
    </row>
    <row r="29" ht="15.75" customHeight="1">
      <c r="A29" s="4" t="s">
        <v>710</v>
      </c>
      <c r="B29" s="25" t="s">
        <v>156</v>
      </c>
      <c r="C29" s="25" t="s">
        <v>55</v>
      </c>
      <c r="D29" s="25"/>
      <c r="E29" s="25" t="s">
        <v>587</v>
      </c>
      <c r="F29" s="25" t="s">
        <v>127</v>
      </c>
      <c r="G29" s="25" t="s">
        <v>128</v>
      </c>
      <c r="H29" s="32">
        <v>26.32</v>
      </c>
      <c r="I29" s="25" t="s">
        <v>717</v>
      </c>
      <c r="J29" s="25" t="s">
        <v>587</v>
      </c>
      <c r="K29" s="25" t="s">
        <v>589</v>
      </c>
      <c r="L29" s="25" t="s">
        <v>142</v>
      </c>
      <c r="M29" s="25" t="s">
        <v>166</v>
      </c>
      <c r="N29" s="25" t="s">
        <v>45</v>
      </c>
      <c r="O29" s="25" t="s">
        <v>718</v>
      </c>
      <c r="P29" s="25" t="s">
        <v>64</v>
      </c>
    </row>
    <row r="30" ht="15.75" customHeight="1">
      <c r="A30" s="4" t="s">
        <v>710</v>
      </c>
      <c r="B30" s="23" t="s">
        <v>54</v>
      </c>
      <c r="C30" s="23" t="s">
        <v>55</v>
      </c>
      <c r="D30" s="23"/>
      <c r="E30" s="23" t="s">
        <v>723</v>
      </c>
      <c r="F30" s="23" t="s">
        <v>127</v>
      </c>
      <c r="G30" s="23" t="s">
        <v>128</v>
      </c>
      <c r="H30" s="31">
        <v>26.67</v>
      </c>
      <c r="I30" s="23" t="s">
        <v>724</v>
      </c>
      <c r="J30" s="23" t="s">
        <v>723</v>
      </c>
      <c r="K30" s="23" t="s">
        <v>725</v>
      </c>
      <c r="L30" s="23" t="s">
        <v>613</v>
      </c>
      <c r="M30" s="23" t="s">
        <v>614</v>
      </c>
      <c r="N30" s="23" t="s">
        <v>45</v>
      </c>
      <c r="O30" s="23" t="s">
        <v>726</v>
      </c>
      <c r="P30" s="23" t="s">
        <v>122</v>
      </c>
    </row>
    <row r="31" ht="15.75" customHeight="1">
      <c r="A31" s="4" t="s">
        <v>710</v>
      </c>
      <c r="B31" s="23" t="s">
        <v>233</v>
      </c>
      <c r="C31" s="23" t="s">
        <v>55</v>
      </c>
      <c r="D31" s="23"/>
      <c r="E31" s="23" t="s">
        <v>766</v>
      </c>
      <c r="F31" s="23" t="s">
        <v>127</v>
      </c>
      <c r="G31" s="23" t="s">
        <v>128</v>
      </c>
      <c r="H31" s="31">
        <v>32.17</v>
      </c>
      <c r="I31" s="23" t="s">
        <v>767</v>
      </c>
      <c r="J31" s="23" t="s">
        <v>766</v>
      </c>
      <c r="K31" s="23" t="s">
        <v>768</v>
      </c>
      <c r="L31" s="23" t="s">
        <v>142</v>
      </c>
      <c r="M31" s="23" t="s">
        <v>166</v>
      </c>
      <c r="N31" s="23" t="s">
        <v>45</v>
      </c>
      <c r="O31" s="23" t="s">
        <v>769</v>
      </c>
      <c r="P31" s="23" t="s">
        <v>74</v>
      </c>
    </row>
    <row r="32" ht="15.75" customHeight="1">
      <c r="A32" s="4" t="s">
        <v>710</v>
      </c>
      <c r="B32" s="23" t="s">
        <v>91</v>
      </c>
      <c r="C32" s="23" t="s">
        <v>55</v>
      </c>
      <c r="D32" s="23"/>
      <c r="E32" s="23" t="s">
        <v>636</v>
      </c>
      <c r="F32" s="23" t="s">
        <v>127</v>
      </c>
      <c r="G32" s="23" t="s">
        <v>128</v>
      </c>
      <c r="H32" s="31">
        <v>32.82</v>
      </c>
      <c r="I32" s="23" t="s">
        <v>779</v>
      </c>
      <c r="J32" s="23" t="s">
        <v>636</v>
      </c>
      <c r="K32" s="23" t="s">
        <v>638</v>
      </c>
      <c r="L32" s="23" t="s">
        <v>613</v>
      </c>
      <c r="M32" s="23" t="s">
        <v>614</v>
      </c>
      <c r="N32" s="23" t="s">
        <v>45</v>
      </c>
      <c r="O32" s="23" t="s">
        <v>780</v>
      </c>
      <c r="P32" s="23" t="s">
        <v>64</v>
      </c>
    </row>
    <row r="33" ht="15.75" customHeight="1">
      <c r="A33" s="4" t="s">
        <v>710</v>
      </c>
      <c r="B33" s="23" t="s">
        <v>54</v>
      </c>
      <c r="C33" s="23" t="s">
        <v>55</v>
      </c>
      <c r="D33" s="23"/>
      <c r="E33" s="23" t="s">
        <v>636</v>
      </c>
      <c r="F33" s="23" t="s">
        <v>127</v>
      </c>
      <c r="G33" s="23" t="s">
        <v>128</v>
      </c>
      <c r="H33" s="31">
        <v>34.98</v>
      </c>
      <c r="I33" s="23" t="s">
        <v>791</v>
      </c>
      <c r="J33" s="23" t="s">
        <v>636</v>
      </c>
      <c r="K33" s="23" t="s">
        <v>638</v>
      </c>
      <c r="L33" s="23" t="s">
        <v>613</v>
      </c>
      <c r="M33" s="23" t="s">
        <v>614</v>
      </c>
      <c r="N33" s="23" t="s">
        <v>45</v>
      </c>
      <c r="O33" s="23" t="s">
        <v>792</v>
      </c>
      <c r="P33" s="23" t="s">
        <v>64</v>
      </c>
    </row>
    <row r="34" ht="15.75" customHeight="1">
      <c r="A34" s="4" t="s">
        <v>506</v>
      </c>
      <c r="B34" s="25" t="s">
        <v>83</v>
      </c>
      <c r="C34" s="25" t="s">
        <v>55</v>
      </c>
      <c r="D34" s="25"/>
      <c r="E34" s="25" t="s">
        <v>766</v>
      </c>
      <c r="F34" s="25" t="s">
        <v>127</v>
      </c>
      <c r="G34" s="25" t="s">
        <v>128</v>
      </c>
      <c r="H34" s="32">
        <v>35.78</v>
      </c>
      <c r="I34" s="25" t="s">
        <v>795</v>
      </c>
      <c r="J34" s="25" t="s">
        <v>766</v>
      </c>
      <c r="K34" s="25" t="s">
        <v>768</v>
      </c>
      <c r="L34" s="25" t="s">
        <v>142</v>
      </c>
      <c r="M34" s="25" t="s">
        <v>166</v>
      </c>
      <c r="N34" s="25" t="s">
        <v>45</v>
      </c>
      <c r="O34" s="25" t="s">
        <v>796</v>
      </c>
      <c r="P34" s="25" t="s">
        <v>74</v>
      </c>
    </row>
    <row r="35" ht="15.75" customHeight="1">
      <c r="A35" s="4" t="s">
        <v>506</v>
      </c>
      <c r="B35" s="25" t="s">
        <v>367</v>
      </c>
      <c r="C35" s="25" t="s">
        <v>55</v>
      </c>
      <c r="D35" s="25"/>
      <c r="E35" s="25" t="s">
        <v>766</v>
      </c>
      <c r="F35" s="25" t="s">
        <v>127</v>
      </c>
      <c r="G35" s="25" t="s">
        <v>128</v>
      </c>
      <c r="H35" s="32">
        <v>44.7</v>
      </c>
      <c r="I35" s="25" t="s">
        <v>839</v>
      </c>
      <c r="J35" s="25" t="s">
        <v>766</v>
      </c>
      <c r="K35" s="25" t="s">
        <v>768</v>
      </c>
      <c r="L35" s="25" t="s">
        <v>142</v>
      </c>
      <c r="M35" s="25" t="s">
        <v>166</v>
      </c>
      <c r="N35" s="25" t="s">
        <v>45</v>
      </c>
      <c r="O35" s="25" t="s">
        <v>840</v>
      </c>
      <c r="P35" s="25" t="s">
        <v>74</v>
      </c>
    </row>
    <row r="36" ht="15.75" customHeight="1">
      <c r="A36" s="4" t="s">
        <v>506</v>
      </c>
      <c r="B36" s="23" t="s">
        <v>54</v>
      </c>
      <c r="C36" s="23" t="s">
        <v>55</v>
      </c>
      <c r="D36" s="23"/>
      <c r="E36" s="23" t="s">
        <v>766</v>
      </c>
      <c r="F36" s="23" t="s">
        <v>127</v>
      </c>
      <c r="G36" s="23" t="s">
        <v>128</v>
      </c>
      <c r="H36" s="31">
        <v>45.91</v>
      </c>
      <c r="I36" s="23" t="s">
        <v>846</v>
      </c>
      <c r="J36" s="23" t="s">
        <v>766</v>
      </c>
      <c r="K36" s="23" t="s">
        <v>768</v>
      </c>
      <c r="L36" s="23" t="s">
        <v>142</v>
      </c>
      <c r="M36" s="23" t="s">
        <v>166</v>
      </c>
      <c r="N36" s="23" t="s">
        <v>45</v>
      </c>
      <c r="O36" s="23" t="s">
        <v>847</v>
      </c>
      <c r="P36" s="23" t="s">
        <v>74</v>
      </c>
    </row>
    <row r="37" ht="15.75" customHeight="1">
      <c r="A37" s="4" t="s">
        <v>506</v>
      </c>
      <c r="B37" s="25" t="s">
        <v>290</v>
      </c>
      <c r="C37" s="25" t="s">
        <v>55</v>
      </c>
      <c r="D37" s="25"/>
      <c r="E37" s="25" t="s">
        <v>766</v>
      </c>
      <c r="F37" s="25" t="s">
        <v>127</v>
      </c>
      <c r="G37" s="25" t="s">
        <v>128</v>
      </c>
      <c r="H37" s="32">
        <v>49.23</v>
      </c>
      <c r="I37" s="25" t="s">
        <v>871</v>
      </c>
      <c r="J37" s="25" t="s">
        <v>766</v>
      </c>
      <c r="K37" s="25" t="s">
        <v>768</v>
      </c>
      <c r="L37" s="25" t="s">
        <v>142</v>
      </c>
      <c r="M37" s="25" t="s">
        <v>166</v>
      </c>
      <c r="N37" s="25" t="s">
        <v>45</v>
      </c>
      <c r="O37" s="25" t="s">
        <v>872</v>
      </c>
      <c r="P37" s="25" t="s">
        <v>74</v>
      </c>
    </row>
    <row r="38" ht="15.75" customHeight="1">
      <c r="A38" s="4" t="s">
        <v>506</v>
      </c>
      <c r="B38" s="23" t="s">
        <v>183</v>
      </c>
      <c r="C38" s="23" t="s">
        <v>55</v>
      </c>
      <c r="D38" s="23"/>
      <c r="E38" s="23" t="s">
        <v>888</v>
      </c>
      <c r="F38" s="23" t="s">
        <v>127</v>
      </c>
      <c r="G38" s="23" t="s">
        <v>128</v>
      </c>
      <c r="H38" s="31">
        <v>53.0</v>
      </c>
      <c r="I38" s="23" t="s">
        <v>889</v>
      </c>
      <c r="J38" s="23" t="s">
        <v>888</v>
      </c>
      <c r="K38" s="23" t="s">
        <v>890</v>
      </c>
      <c r="L38" s="23" t="s">
        <v>891</v>
      </c>
      <c r="M38" s="23" t="s">
        <v>892</v>
      </c>
      <c r="N38" s="23" t="s">
        <v>45</v>
      </c>
      <c r="O38" s="23" t="s">
        <v>893</v>
      </c>
      <c r="P38" s="23" t="s">
        <v>64</v>
      </c>
    </row>
    <row r="39" ht="15.75" customHeight="1">
      <c r="A39" s="4" t="s">
        <v>506</v>
      </c>
      <c r="B39" s="23" t="s">
        <v>115</v>
      </c>
      <c r="C39" s="23" t="s">
        <v>55</v>
      </c>
      <c r="D39" s="23"/>
      <c r="E39" s="23" t="s">
        <v>766</v>
      </c>
      <c r="F39" s="23" t="s">
        <v>127</v>
      </c>
      <c r="G39" s="23" t="s">
        <v>128</v>
      </c>
      <c r="H39" s="31">
        <v>63.21</v>
      </c>
      <c r="I39" s="23" t="s">
        <v>922</v>
      </c>
      <c r="J39" s="23" t="s">
        <v>766</v>
      </c>
      <c r="K39" s="23" t="s">
        <v>768</v>
      </c>
      <c r="L39" s="23" t="s">
        <v>142</v>
      </c>
      <c r="M39" s="23" t="s">
        <v>166</v>
      </c>
      <c r="N39" s="23" t="s">
        <v>45</v>
      </c>
      <c r="O39" s="23" t="s">
        <v>923</v>
      </c>
      <c r="P39" s="23" t="s">
        <v>74</v>
      </c>
    </row>
    <row r="40" ht="15.75" customHeight="1">
      <c r="A40" s="4" t="s">
        <v>506</v>
      </c>
      <c r="B40" s="25" t="s">
        <v>156</v>
      </c>
      <c r="C40" s="25" t="s">
        <v>55</v>
      </c>
      <c r="D40" s="25"/>
      <c r="E40" s="25" t="s">
        <v>636</v>
      </c>
      <c r="F40" s="25" t="s">
        <v>127</v>
      </c>
      <c r="G40" s="25" t="s">
        <v>128</v>
      </c>
      <c r="H40" s="32">
        <v>67.81</v>
      </c>
      <c r="I40" s="25" t="s">
        <v>942</v>
      </c>
      <c r="J40" s="25" t="s">
        <v>636</v>
      </c>
      <c r="K40" s="25" t="s">
        <v>638</v>
      </c>
      <c r="L40" s="25" t="s">
        <v>613</v>
      </c>
      <c r="M40" s="25" t="s">
        <v>614</v>
      </c>
      <c r="N40" s="25" t="s">
        <v>45</v>
      </c>
      <c r="O40" s="25" t="s">
        <v>943</v>
      </c>
      <c r="P40" s="25" t="s">
        <v>64</v>
      </c>
    </row>
    <row r="41" ht="15.75" customHeight="1">
      <c r="A41" s="4" t="s">
        <v>710</v>
      </c>
      <c r="B41" s="23" t="s">
        <v>290</v>
      </c>
      <c r="C41" s="23" t="s">
        <v>55</v>
      </c>
      <c r="D41" s="23"/>
      <c r="E41" s="23" t="s">
        <v>445</v>
      </c>
      <c r="F41" s="23" t="s">
        <v>127</v>
      </c>
      <c r="G41" s="23" t="s">
        <v>128</v>
      </c>
      <c r="H41" s="31">
        <v>237.85</v>
      </c>
      <c r="I41" s="23" t="s">
        <v>1252</v>
      </c>
      <c r="J41" s="23" t="s">
        <v>445</v>
      </c>
      <c r="K41" s="23" t="s">
        <v>447</v>
      </c>
      <c r="L41" s="23" t="s">
        <v>142</v>
      </c>
      <c r="M41" s="23" t="s">
        <v>143</v>
      </c>
      <c r="N41" s="23" t="s">
        <v>45</v>
      </c>
      <c r="O41" s="23" t="s">
        <v>1253</v>
      </c>
      <c r="P41" s="23" t="s">
        <v>182</v>
      </c>
    </row>
    <row r="42" ht="15.75" customHeight="1">
      <c r="A42" s="4" t="s">
        <v>710</v>
      </c>
      <c r="B42" s="25" t="s">
        <v>290</v>
      </c>
      <c r="C42" s="25" t="s">
        <v>55</v>
      </c>
      <c r="D42" s="25"/>
      <c r="E42" s="25" t="s">
        <v>445</v>
      </c>
      <c r="F42" s="25" t="s">
        <v>127</v>
      </c>
      <c r="G42" s="25" t="s">
        <v>128</v>
      </c>
      <c r="H42" s="32">
        <v>501.14</v>
      </c>
      <c r="I42" s="25" t="s">
        <v>1252</v>
      </c>
      <c r="J42" s="25" t="s">
        <v>445</v>
      </c>
      <c r="K42" s="25" t="s">
        <v>447</v>
      </c>
      <c r="L42" s="25" t="s">
        <v>142</v>
      </c>
      <c r="M42" s="25" t="s">
        <v>143</v>
      </c>
      <c r="N42" s="25" t="s">
        <v>45</v>
      </c>
      <c r="O42" s="25" t="s">
        <v>1352</v>
      </c>
      <c r="P42" s="25" t="s">
        <v>182</v>
      </c>
    </row>
    <row r="43" ht="15.75" customHeight="1">
      <c r="A43" s="4" t="s">
        <v>710</v>
      </c>
      <c r="B43" s="23" t="s">
        <v>37</v>
      </c>
      <c r="C43" s="23" t="s">
        <v>55</v>
      </c>
      <c r="D43" s="23"/>
      <c r="E43" s="23" t="s">
        <v>445</v>
      </c>
      <c r="F43" s="23" t="s">
        <v>127</v>
      </c>
      <c r="G43" s="23" t="s">
        <v>128</v>
      </c>
      <c r="H43" s="31">
        <v>1617.31</v>
      </c>
      <c r="I43" s="23" t="s">
        <v>1377</v>
      </c>
      <c r="J43" s="23" t="s">
        <v>445</v>
      </c>
      <c r="K43" s="23" t="s">
        <v>447</v>
      </c>
      <c r="L43" s="23" t="s">
        <v>142</v>
      </c>
      <c r="M43" s="23" t="s">
        <v>143</v>
      </c>
      <c r="N43" s="23" t="s">
        <v>45</v>
      </c>
      <c r="O43" s="23" t="s">
        <v>1378</v>
      </c>
      <c r="P43" s="23" t="s">
        <v>182</v>
      </c>
    </row>
    <row r="44" ht="15.75" customHeight="1">
      <c r="A44" s="4" t="s">
        <v>710</v>
      </c>
      <c r="B44" s="25" t="s">
        <v>37</v>
      </c>
      <c r="C44" s="25" t="s">
        <v>55</v>
      </c>
      <c r="D44" s="25"/>
      <c r="E44" s="25" t="s">
        <v>445</v>
      </c>
      <c r="F44" s="25" t="s">
        <v>127</v>
      </c>
      <c r="G44" s="25" t="s">
        <v>128</v>
      </c>
      <c r="H44" s="32">
        <v>1850.04</v>
      </c>
      <c r="I44" s="25" t="s">
        <v>1377</v>
      </c>
      <c r="J44" s="25" t="s">
        <v>445</v>
      </c>
      <c r="K44" s="25" t="s">
        <v>447</v>
      </c>
      <c r="L44" s="25" t="s">
        <v>142</v>
      </c>
      <c r="M44" s="25" t="s">
        <v>143</v>
      </c>
      <c r="N44" s="25" t="s">
        <v>45</v>
      </c>
      <c r="O44" s="25" t="s">
        <v>1383</v>
      </c>
      <c r="P44" s="25" t="s">
        <v>182</v>
      </c>
    </row>
    <row r="45" ht="15.75" customHeight="1">
      <c r="H45" s="14"/>
    </row>
    <row r="46" ht="15.75" customHeight="1">
      <c r="F46" s="23" t="s">
        <v>14</v>
      </c>
      <c r="H46" s="14">
        <f>SUM(H2:H45)</f>
        <v>8368.98</v>
      </c>
    </row>
    <row r="47" ht="15.75" customHeight="1">
      <c r="H47" s="14"/>
    </row>
    <row r="48" ht="15.75" customHeight="1">
      <c r="F48" s="5" t="s">
        <v>5</v>
      </c>
      <c r="G48" s="5"/>
      <c r="H48" s="33"/>
      <c r="I48" s="5" t="s">
        <v>7</v>
      </c>
      <c r="J48" s="5" t="s">
        <v>8</v>
      </c>
      <c r="K48" s="5" t="s">
        <v>9</v>
      </c>
    </row>
    <row r="49" ht="15.75" customHeight="1">
      <c r="F49" s="7" t="s">
        <v>10</v>
      </c>
      <c r="H49" s="13">
        <f>SUMIF($A$2:$A$44,"no",$H$2:$H$44)</f>
        <v>3441.32</v>
      </c>
      <c r="I49" s="7">
        <f>COUNTIF(A2:A44,"no")</f>
        <v>13</v>
      </c>
      <c r="J49" s="9">
        <f t="shared" ref="J49:K49" si="1">H49/H51</f>
        <v>0.4111994532</v>
      </c>
      <c r="K49" s="9">
        <f t="shared" si="1"/>
        <v>0.3023255814</v>
      </c>
    </row>
    <row r="50" ht="15.75" customHeight="1">
      <c r="F50" s="4" t="s">
        <v>11</v>
      </c>
      <c r="H50" s="14">
        <f>SUMIF($A$2:$A$44,"yes",$H$2:$H$44)</f>
        <v>4927.66</v>
      </c>
      <c r="I50" s="4">
        <f>COUNTIF(A2:A44,"yes")</f>
        <v>30</v>
      </c>
      <c r="J50" s="10">
        <f t="shared" ref="J50:K50" si="2">H50/H51</f>
        <v>0.5888005468</v>
      </c>
      <c r="K50" s="10">
        <f t="shared" si="2"/>
        <v>0.6976744186</v>
      </c>
    </row>
    <row r="51" ht="15.75" customHeight="1">
      <c r="F51" s="4" t="s">
        <v>14</v>
      </c>
      <c r="H51" s="14">
        <f t="shared" ref="H51:I51" si="3">SUM(H49:H50)</f>
        <v>8368.98</v>
      </c>
      <c r="I51" s="4">
        <f t="shared" si="3"/>
        <v>43</v>
      </c>
    </row>
    <row r="52" ht="15.75" customHeight="1">
      <c r="H52" s="14"/>
    </row>
    <row r="53" ht="15.75" customHeight="1">
      <c r="H53" s="14"/>
    </row>
    <row r="54" ht="15.75" customHeight="1">
      <c r="H54" s="14"/>
    </row>
    <row r="55" ht="15.75" customHeight="1">
      <c r="H55" s="14"/>
    </row>
    <row r="56" ht="15.75" customHeight="1">
      <c r="H56" s="14"/>
    </row>
    <row r="57" ht="15.75" customHeight="1">
      <c r="H57" s="14"/>
    </row>
    <row r="58" ht="15.75" customHeight="1">
      <c r="H58" s="14"/>
    </row>
    <row r="59" ht="15.75" customHeight="1">
      <c r="H59" s="14"/>
    </row>
    <row r="60" ht="15.75" customHeight="1">
      <c r="H60" s="14"/>
    </row>
    <row r="61" ht="15.75" customHeight="1">
      <c r="H61" s="14"/>
    </row>
    <row r="62" ht="15.75" customHeight="1">
      <c r="H62" s="14"/>
    </row>
    <row r="63" ht="15.75" customHeight="1">
      <c r="H63" s="14"/>
    </row>
    <row r="64" ht="15.75" customHeight="1">
      <c r="H64" s="14"/>
    </row>
    <row r="65" ht="15.75" customHeight="1">
      <c r="H65" s="14"/>
    </row>
    <row r="66" ht="15.75" customHeight="1">
      <c r="H66" s="14"/>
    </row>
    <row r="67" ht="15.75" customHeight="1">
      <c r="H67" s="14"/>
    </row>
    <row r="68" ht="15.75" customHeight="1">
      <c r="H68" s="14"/>
    </row>
    <row r="69" ht="15.75" customHeight="1">
      <c r="H69" s="14"/>
    </row>
    <row r="70" ht="15.75" customHeight="1">
      <c r="H70" s="14"/>
    </row>
    <row r="71" ht="15.75" customHeight="1">
      <c r="H71" s="14"/>
    </row>
    <row r="72" ht="15.75" customHeight="1">
      <c r="H72" s="14"/>
    </row>
    <row r="73" ht="15.75" customHeight="1">
      <c r="H73" s="14"/>
    </row>
    <row r="74" ht="15.75" customHeight="1">
      <c r="H74" s="14"/>
    </row>
    <row r="75" ht="15.75" customHeight="1">
      <c r="H75" s="14"/>
    </row>
    <row r="76" ht="15.75" customHeight="1">
      <c r="H76" s="14"/>
    </row>
    <row r="77" ht="15.75" customHeight="1">
      <c r="H77" s="14"/>
    </row>
    <row r="78" ht="15.75" customHeight="1">
      <c r="H78" s="14"/>
    </row>
    <row r="79" ht="15.75" customHeight="1">
      <c r="H79" s="14"/>
    </row>
    <row r="80" ht="15.75" customHeight="1">
      <c r="H80" s="14"/>
    </row>
    <row r="81" ht="15.75" customHeight="1">
      <c r="H81" s="14"/>
    </row>
    <row r="82" ht="15.75" customHeight="1">
      <c r="H82" s="14"/>
    </row>
    <row r="83" ht="15.75" customHeight="1">
      <c r="H83" s="14"/>
    </row>
    <row r="84" ht="15.75" customHeight="1">
      <c r="H84" s="14"/>
    </row>
    <row r="85" ht="15.75" customHeight="1">
      <c r="H85" s="14"/>
    </row>
    <row r="86" ht="15.75" customHeight="1">
      <c r="H86" s="14"/>
    </row>
    <row r="87" ht="15.75" customHeight="1">
      <c r="H87" s="14"/>
    </row>
    <row r="88" ht="15.75" customHeight="1">
      <c r="H88" s="14"/>
    </row>
    <row r="89" ht="15.75" customHeight="1">
      <c r="H89" s="14"/>
    </row>
    <row r="90" ht="15.75" customHeight="1">
      <c r="H90" s="14"/>
    </row>
    <row r="91" ht="15.75" customHeight="1">
      <c r="H91" s="14"/>
    </row>
    <row r="92" ht="15.75" customHeight="1">
      <c r="H92" s="14"/>
    </row>
    <row r="93" ht="15.75" customHeight="1">
      <c r="H93" s="14"/>
    </row>
    <row r="94" ht="15.75" customHeight="1">
      <c r="H94" s="14"/>
    </row>
    <row r="95" ht="15.75" customHeight="1">
      <c r="H95" s="14"/>
    </row>
    <row r="96" ht="15.75" customHeight="1">
      <c r="H96" s="14"/>
    </row>
    <row r="97" ht="15.75" customHeight="1">
      <c r="H97" s="14"/>
    </row>
    <row r="98" ht="15.75" customHeight="1">
      <c r="H98" s="14"/>
    </row>
    <row r="99" ht="15.75" customHeight="1">
      <c r="H99" s="14"/>
    </row>
    <row r="100" ht="15.75" customHeight="1">
      <c r="H100" s="14"/>
    </row>
    <row r="101" ht="15.75" customHeight="1">
      <c r="H101" s="14"/>
    </row>
    <row r="102" ht="15.75" customHeight="1">
      <c r="H102" s="14"/>
    </row>
    <row r="103" ht="15.75" customHeight="1">
      <c r="H103" s="14"/>
    </row>
    <row r="104" ht="15.75" customHeight="1">
      <c r="H104" s="14"/>
    </row>
    <row r="105" ht="15.75" customHeight="1">
      <c r="H105" s="14"/>
    </row>
    <row r="106" ht="15.75" customHeight="1">
      <c r="H106" s="14"/>
    </row>
    <row r="107" ht="15.75" customHeight="1">
      <c r="H107" s="14"/>
    </row>
    <row r="108" ht="15.75" customHeight="1">
      <c r="H108" s="14"/>
    </row>
    <row r="109" ht="15.75" customHeight="1">
      <c r="H109" s="14"/>
    </row>
    <row r="110" ht="15.75" customHeight="1">
      <c r="H110" s="14"/>
    </row>
    <row r="111" ht="15.75" customHeight="1">
      <c r="H111" s="14"/>
    </row>
    <row r="112" ht="15.75" customHeight="1">
      <c r="H112" s="14"/>
    </row>
    <row r="113" ht="15.75" customHeight="1">
      <c r="H113" s="14"/>
    </row>
    <row r="114" ht="15.75" customHeight="1">
      <c r="H114" s="14"/>
    </row>
    <row r="115" ht="15.75" customHeight="1">
      <c r="H115" s="14"/>
    </row>
    <row r="116" ht="15.75" customHeight="1">
      <c r="H116" s="14"/>
    </row>
    <row r="117" ht="15.75" customHeight="1">
      <c r="H117" s="14"/>
    </row>
    <row r="118" ht="15.75" customHeight="1">
      <c r="H118" s="14"/>
    </row>
    <row r="119" ht="15.75" customHeight="1">
      <c r="H119" s="14"/>
    </row>
    <row r="120" ht="15.75" customHeight="1">
      <c r="H120" s="14"/>
    </row>
    <row r="121" ht="15.75" customHeight="1">
      <c r="H121" s="14"/>
    </row>
    <row r="122" ht="15.75" customHeight="1">
      <c r="H122" s="14"/>
    </row>
    <row r="123" ht="15.75" customHeight="1">
      <c r="H123" s="14"/>
    </row>
    <row r="124" ht="15.75" customHeight="1">
      <c r="H124" s="14"/>
    </row>
    <row r="125" ht="15.75" customHeight="1">
      <c r="H125" s="14"/>
    </row>
    <row r="126" ht="15.75" customHeight="1">
      <c r="H126" s="14"/>
    </row>
    <row r="127" ht="15.75" customHeight="1">
      <c r="H127" s="14"/>
    </row>
    <row r="128" ht="15.75" customHeight="1">
      <c r="H128" s="14"/>
    </row>
    <row r="129" ht="15.75" customHeight="1">
      <c r="H129" s="14"/>
    </row>
    <row r="130" ht="15.75" customHeight="1">
      <c r="H130" s="14"/>
    </row>
    <row r="131" ht="15.75" customHeight="1">
      <c r="H131" s="14"/>
    </row>
    <row r="132" ht="15.75" customHeight="1">
      <c r="H132" s="14"/>
    </row>
    <row r="133" ht="15.75" customHeight="1">
      <c r="H133" s="14"/>
    </row>
    <row r="134" ht="15.75" customHeight="1">
      <c r="H134" s="14"/>
    </row>
    <row r="135" ht="15.75" customHeight="1">
      <c r="H135" s="14"/>
    </row>
    <row r="136" ht="15.75" customHeight="1">
      <c r="H136" s="14"/>
    </row>
    <row r="137" ht="15.75" customHeight="1">
      <c r="H137" s="14"/>
    </row>
    <row r="138" ht="15.75" customHeight="1">
      <c r="H138" s="14"/>
    </row>
    <row r="139" ht="15.75" customHeight="1">
      <c r="H139" s="14"/>
    </row>
    <row r="140" ht="15.75" customHeight="1">
      <c r="H140" s="14"/>
    </row>
    <row r="141" ht="15.75" customHeight="1">
      <c r="H141" s="14"/>
    </row>
    <row r="142" ht="15.75" customHeight="1">
      <c r="H142" s="14"/>
    </row>
    <row r="143" ht="15.75" customHeight="1">
      <c r="H143" s="14"/>
    </row>
    <row r="144" ht="15.75" customHeight="1">
      <c r="H144" s="14"/>
    </row>
    <row r="145" ht="15.75" customHeight="1">
      <c r="H145" s="14"/>
    </row>
    <row r="146" ht="15.75" customHeight="1">
      <c r="H146" s="14"/>
    </row>
    <row r="147" ht="15.75" customHeight="1">
      <c r="H147" s="14"/>
    </row>
    <row r="148" ht="15.75" customHeight="1">
      <c r="H148" s="14"/>
    </row>
    <row r="149" ht="15.75" customHeight="1">
      <c r="H149" s="14"/>
    </row>
    <row r="150" ht="15.75" customHeight="1">
      <c r="H150" s="14"/>
    </row>
    <row r="151" ht="15.75" customHeight="1">
      <c r="H151" s="14"/>
    </row>
    <row r="152" ht="15.75" customHeight="1">
      <c r="H152" s="14"/>
    </row>
    <row r="153" ht="15.75" customHeight="1">
      <c r="H153" s="14"/>
    </row>
    <row r="154" ht="15.75" customHeight="1">
      <c r="H154" s="14"/>
    </row>
    <row r="155" ht="15.75" customHeight="1">
      <c r="H155" s="14"/>
    </row>
    <row r="156" ht="15.75" customHeight="1">
      <c r="H156" s="14"/>
    </row>
    <row r="157" ht="15.75" customHeight="1">
      <c r="H157" s="14"/>
    </row>
    <row r="158" ht="15.75" customHeight="1">
      <c r="H158" s="14"/>
    </row>
    <row r="159" ht="15.75" customHeight="1">
      <c r="H159" s="14"/>
    </row>
    <row r="160" ht="15.75" customHeight="1">
      <c r="H160" s="14"/>
    </row>
    <row r="161" ht="15.75" customHeight="1">
      <c r="H161" s="14"/>
    </row>
    <row r="162" ht="15.75" customHeight="1">
      <c r="H162" s="14"/>
    </row>
    <row r="163" ht="15.75" customHeight="1">
      <c r="H163" s="14"/>
    </row>
    <row r="164" ht="15.75" customHeight="1">
      <c r="H164" s="14"/>
    </row>
    <row r="165" ht="15.75" customHeight="1">
      <c r="H165" s="14"/>
    </row>
    <row r="166" ht="15.75" customHeight="1">
      <c r="H166" s="14"/>
    </row>
    <row r="167" ht="15.75" customHeight="1">
      <c r="H167" s="14"/>
    </row>
    <row r="168" ht="15.75" customHeight="1">
      <c r="H168" s="14"/>
    </row>
    <row r="169" ht="15.75" customHeight="1">
      <c r="H169" s="14"/>
    </row>
    <row r="170" ht="15.75" customHeight="1">
      <c r="H170" s="14"/>
    </row>
    <row r="171" ht="15.75" customHeight="1">
      <c r="H171" s="14"/>
    </row>
    <row r="172" ht="15.75" customHeight="1">
      <c r="H172" s="14"/>
    </row>
    <row r="173" ht="15.75" customHeight="1">
      <c r="H173" s="14"/>
    </row>
    <row r="174" ht="15.75" customHeight="1">
      <c r="H174" s="14"/>
    </row>
    <row r="175" ht="15.75" customHeight="1">
      <c r="H175" s="14"/>
    </row>
    <row r="176" ht="15.75" customHeight="1">
      <c r="H176" s="14"/>
    </row>
    <row r="177" ht="15.75" customHeight="1">
      <c r="H177" s="14"/>
    </row>
    <row r="178" ht="15.75" customHeight="1">
      <c r="H178" s="14"/>
    </row>
    <row r="179" ht="15.75" customHeight="1">
      <c r="H179" s="14"/>
    </row>
    <row r="180" ht="15.75" customHeight="1">
      <c r="H180" s="14"/>
    </row>
    <row r="181" ht="15.75" customHeight="1">
      <c r="H181" s="14"/>
    </row>
    <row r="182" ht="15.75" customHeight="1">
      <c r="H182" s="14"/>
    </row>
    <row r="183" ht="15.75" customHeight="1">
      <c r="H183" s="14"/>
    </row>
    <row r="184" ht="15.75" customHeight="1">
      <c r="H184" s="14"/>
    </row>
    <row r="185" ht="15.75" customHeight="1">
      <c r="H185" s="14"/>
    </row>
    <row r="186" ht="15.75" customHeight="1">
      <c r="H186" s="14"/>
    </row>
    <row r="187" ht="15.75" customHeight="1">
      <c r="H187" s="14"/>
    </row>
    <row r="188" ht="15.75" customHeight="1">
      <c r="H188" s="14"/>
    </row>
    <row r="189" ht="15.75" customHeight="1">
      <c r="H189" s="14"/>
    </row>
    <row r="190" ht="15.75" customHeight="1">
      <c r="H190" s="14"/>
    </row>
    <row r="191" ht="15.75" customHeight="1">
      <c r="H191" s="14"/>
    </row>
    <row r="192" ht="15.75" customHeight="1">
      <c r="H192" s="14"/>
    </row>
    <row r="193" ht="15.75" customHeight="1">
      <c r="H193" s="14"/>
    </row>
    <row r="194" ht="15.75" customHeight="1">
      <c r="H194" s="14"/>
    </row>
    <row r="195" ht="15.75" customHeight="1">
      <c r="H195" s="14"/>
    </row>
    <row r="196" ht="15.75" customHeight="1">
      <c r="H196" s="14"/>
    </row>
    <row r="197" ht="15.75" customHeight="1">
      <c r="H197" s="14"/>
    </row>
    <row r="198" ht="15.75" customHeight="1">
      <c r="H198" s="14"/>
    </row>
    <row r="199" ht="15.75" customHeight="1">
      <c r="H199" s="14"/>
    </row>
    <row r="200" ht="15.75" customHeight="1">
      <c r="H200" s="14"/>
    </row>
    <row r="201" ht="15.75" customHeight="1">
      <c r="H201" s="14"/>
    </row>
    <row r="202" ht="15.75" customHeight="1">
      <c r="H202" s="14"/>
    </row>
    <row r="203" ht="15.75" customHeight="1">
      <c r="H203" s="14"/>
    </row>
    <row r="204" ht="15.75" customHeight="1">
      <c r="H204" s="14"/>
    </row>
    <row r="205" ht="15.75" customHeight="1">
      <c r="H205" s="14"/>
    </row>
    <row r="206" ht="15.75" customHeight="1">
      <c r="H206" s="14"/>
    </row>
    <row r="207" ht="15.75" customHeight="1">
      <c r="H207" s="14"/>
    </row>
    <row r="208" ht="15.75" customHeight="1">
      <c r="H208" s="14"/>
    </row>
    <row r="209" ht="15.75" customHeight="1">
      <c r="H209" s="14"/>
    </row>
    <row r="210" ht="15.75" customHeight="1">
      <c r="H210" s="14"/>
    </row>
    <row r="211" ht="15.75" customHeight="1">
      <c r="H211" s="14"/>
    </row>
    <row r="212" ht="15.75" customHeight="1">
      <c r="H212" s="14"/>
    </row>
    <row r="213" ht="15.75" customHeight="1">
      <c r="H213" s="14"/>
    </row>
    <row r="214" ht="15.75" customHeight="1">
      <c r="H214" s="14"/>
    </row>
    <row r="215" ht="15.75" customHeight="1">
      <c r="H215" s="14"/>
    </row>
    <row r="216" ht="15.75" customHeight="1">
      <c r="H216" s="14"/>
    </row>
    <row r="217" ht="15.75" customHeight="1">
      <c r="H217" s="14"/>
    </row>
    <row r="218" ht="15.75" customHeight="1">
      <c r="H218" s="14"/>
    </row>
    <row r="219" ht="15.75" customHeight="1">
      <c r="H219" s="14"/>
    </row>
    <row r="220" ht="15.75" customHeight="1">
      <c r="H220" s="14"/>
    </row>
    <row r="221" ht="15.75" customHeight="1">
      <c r="H221" s="14"/>
    </row>
    <row r="222" ht="15.75" customHeight="1">
      <c r="H222" s="14"/>
    </row>
    <row r="223" ht="15.75" customHeight="1">
      <c r="H223" s="14"/>
    </row>
    <row r="224" ht="15.75" customHeight="1">
      <c r="H224" s="14"/>
    </row>
    <row r="225" ht="15.75" customHeight="1">
      <c r="H225" s="14"/>
    </row>
    <row r="226" ht="15.75" customHeight="1">
      <c r="H226" s="14"/>
    </row>
    <row r="227" ht="15.75" customHeight="1">
      <c r="H227" s="14"/>
    </row>
    <row r="228" ht="15.75" customHeight="1">
      <c r="H228" s="14"/>
    </row>
    <row r="229" ht="15.75" customHeight="1">
      <c r="H229" s="14"/>
    </row>
    <row r="230" ht="15.75" customHeight="1">
      <c r="H230" s="14"/>
    </row>
    <row r="231" ht="15.75" customHeight="1">
      <c r="H231" s="14"/>
    </row>
    <row r="232" ht="15.75" customHeight="1">
      <c r="H232" s="14"/>
    </row>
    <row r="233" ht="15.75" customHeight="1">
      <c r="H233" s="14"/>
    </row>
    <row r="234" ht="15.75" customHeight="1">
      <c r="H234" s="14"/>
    </row>
    <row r="235" ht="15.75" customHeight="1">
      <c r="H235" s="14"/>
    </row>
    <row r="236" ht="15.75" customHeight="1">
      <c r="H236" s="14"/>
    </row>
    <row r="237" ht="15.75" customHeight="1">
      <c r="H237" s="14"/>
    </row>
    <row r="238" ht="15.75" customHeight="1">
      <c r="H238" s="14"/>
    </row>
    <row r="239" ht="15.75" customHeight="1">
      <c r="H239" s="14"/>
    </row>
    <row r="240" ht="15.75" customHeight="1">
      <c r="H240" s="14"/>
    </row>
    <row r="241" ht="15.75" customHeight="1">
      <c r="H241" s="14"/>
    </row>
    <row r="242" ht="15.75" customHeight="1">
      <c r="H242" s="14"/>
    </row>
    <row r="243" ht="15.75" customHeight="1">
      <c r="H243" s="14"/>
    </row>
    <row r="244" ht="15.75" customHeight="1">
      <c r="H244" s="14"/>
    </row>
    <row r="245" ht="15.75" customHeight="1">
      <c r="H245" s="14"/>
    </row>
    <row r="246" ht="15.75" customHeight="1">
      <c r="H246" s="14"/>
    </row>
    <row r="247" ht="15.75" customHeight="1">
      <c r="H247" s="14"/>
    </row>
    <row r="248" ht="15.75" customHeight="1">
      <c r="H248" s="14"/>
    </row>
    <row r="249" ht="15.75" customHeight="1">
      <c r="H249" s="14"/>
    </row>
    <row r="250" ht="15.75" customHeight="1">
      <c r="H250" s="14"/>
    </row>
    <row r="251" ht="15.75" customHeight="1">
      <c r="H251" s="14"/>
    </row>
    <row r="252" ht="15.75" customHeight="1">
      <c r="H252" s="14"/>
    </row>
    <row r="253" ht="15.75" customHeight="1">
      <c r="H253" s="14"/>
    </row>
    <row r="254" ht="15.75" customHeight="1">
      <c r="H254" s="14"/>
    </row>
    <row r="255" ht="15.75" customHeight="1">
      <c r="H255" s="14"/>
    </row>
    <row r="256" ht="15.75" customHeight="1">
      <c r="H256" s="14"/>
    </row>
    <row r="257" ht="15.75" customHeight="1">
      <c r="H257" s="14"/>
    </row>
    <row r="258" ht="15.75" customHeight="1">
      <c r="H258" s="14"/>
    </row>
    <row r="259" ht="15.75" customHeight="1">
      <c r="H259" s="14"/>
    </row>
    <row r="260" ht="15.75" customHeight="1">
      <c r="H260" s="14"/>
    </row>
    <row r="261" ht="15.75" customHeight="1">
      <c r="H261" s="14"/>
    </row>
    <row r="262" ht="15.75" customHeight="1">
      <c r="H262" s="14"/>
    </row>
    <row r="263" ht="15.75" customHeight="1">
      <c r="H263" s="14"/>
    </row>
    <row r="264" ht="15.75" customHeight="1">
      <c r="H264" s="14"/>
    </row>
    <row r="265" ht="15.75" customHeight="1">
      <c r="H265" s="14"/>
    </row>
    <row r="266" ht="15.75" customHeight="1">
      <c r="H266" s="14"/>
    </row>
    <row r="267" ht="15.75" customHeight="1">
      <c r="H267" s="14"/>
    </row>
    <row r="268" ht="15.75" customHeight="1">
      <c r="H268" s="14"/>
    </row>
    <row r="269" ht="15.75" customHeight="1">
      <c r="H269" s="14"/>
    </row>
    <row r="270" ht="15.75" customHeight="1">
      <c r="H270" s="14"/>
    </row>
    <row r="271" ht="15.75" customHeight="1">
      <c r="H271" s="14"/>
    </row>
    <row r="272" ht="15.75" customHeight="1">
      <c r="H272" s="14"/>
    </row>
    <row r="273" ht="15.75" customHeight="1">
      <c r="H273" s="14"/>
    </row>
    <row r="274" ht="15.75" customHeight="1">
      <c r="H274" s="14"/>
    </row>
    <row r="275" ht="15.75" customHeight="1">
      <c r="H275" s="14"/>
    </row>
    <row r="276" ht="15.75" customHeight="1">
      <c r="H276" s="14"/>
    </row>
    <row r="277" ht="15.75" customHeight="1">
      <c r="H277" s="14"/>
    </row>
    <row r="278" ht="15.75" customHeight="1">
      <c r="H278" s="14"/>
    </row>
    <row r="279" ht="15.75" customHeight="1">
      <c r="H279" s="14"/>
    </row>
    <row r="280" ht="15.75" customHeight="1">
      <c r="H280" s="14"/>
    </row>
    <row r="281" ht="15.75" customHeight="1">
      <c r="H281" s="14"/>
    </row>
    <row r="282" ht="15.75" customHeight="1">
      <c r="H282" s="14"/>
    </row>
    <row r="283" ht="15.75" customHeight="1">
      <c r="H283" s="14"/>
    </row>
    <row r="284" ht="15.75" customHeight="1">
      <c r="H284" s="14"/>
    </row>
    <row r="285" ht="15.75" customHeight="1">
      <c r="H285" s="14"/>
    </row>
    <row r="286" ht="15.75" customHeight="1">
      <c r="H286" s="14"/>
    </row>
    <row r="287" ht="15.75" customHeight="1">
      <c r="H287" s="14"/>
    </row>
    <row r="288" ht="15.75" customHeight="1">
      <c r="H288" s="14"/>
    </row>
    <row r="289" ht="15.75" customHeight="1">
      <c r="H289" s="14"/>
    </row>
    <row r="290" ht="15.75" customHeight="1">
      <c r="H290" s="14"/>
    </row>
    <row r="291" ht="15.75" customHeight="1">
      <c r="H291" s="14"/>
    </row>
    <row r="292" ht="15.75" customHeight="1">
      <c r="H292" s="14"/>
    </row>
    <row r="293" ht="15.75" customHeight="1">
      <c r="H293" s="14"/>
    </row>
    <row r="294" ht="15.75" customHeight="1">
      <c r="H294" s="14"/>
    </row>
    <row r="295" ht="15.75" customHeight="1">
      <c r="H295" s="14"/>
    </row>
    <row r="296" ht="15.75" customHeight="1">
      <c r="H296" s="14"/>
    </row>
    <row r="297" ht="15.75" customHeight="1">
      <c r="H297" s="14"/>
    </row>
    <row r="298" ht="15.75" customHeight="1">
      <c r="H298" s="14"/>
    </row>
    <row r="299" ht="15.75" customHeight="1">
      <c r="H299" s="14"/>
    </row>
    <row r="300" ht="15.75" customHeight="1">
      <c r="H300" s="14"/>
    </row>
    <row r="301" ht="15.75" customHeight="1">
      <c r="H301" s="14"/>
    </row>
    <row r="302" ht="15.75" customHeight="1">
      <c r="H302" s="14"/>
    </row>
    <row r="303" ht="15.75" customHeight="1">
      <c r="H303" s="14"/>
    </row>
    <row r="304" ht="15.75" customHeight="1">
      <c r="H304" s="14"/>
    </row>
    <row r="305" ht="15.75" customHeight="1">
      <c r="H305" s="14"/>
    </row>
    <row r="306" ht="15.75" customHeight="1">
      <c r="H306" s="14"/>
    </row>
    <row r="307" ht="15.75" customHeight="1">
      <c r="H307" s="14"/>
    </row>
    <row r="308" ht="15.75" customHeight="1">
      <c r="H308" s="14"/>
    </row>
    <row r="309" ht="15.75" customHeight="1">
      <c r="H309" s="14"/>
    </row>
    <row r="310" ht="15.75" customHeight="1">
      <c r="H310" s="14"/>
    </row>
    <row r="311" ht="15.75" customHeight="1">
      <c r="H311" s="14"/>
    </row>
    <row r="312" ht="15.75" customHeight="1">
      <c r="H312" s="14"/>
    </row>
    <row r="313" ht="15.75" customHeight="1">
      <c r="H313" s="14"/>
    </row>
    <row r="314" ht="15.75" customHeight="1">
      <c r="H314" s="14"/>
    </row>
    <row r="315" ht="15.75" customHeight="1">
      <c r="H315" s="14"/>
    </row>
    <row r="316" ht="15.75" customHeight="1">
      <c r="H316" s="14"/>
    </row>
    <row r="317" ht="15.75" customHeight="1">
      <c r="H317" s="14"/>
    </row>
    <row r="318" ht="15.75" customHeight="1">
      <c r="H318" s="14"/>
    </row>
    <row r="319" ht="15.75" customHeight="1">
      <c r="H319" s="14"/>
    </row>
    <row r="320" ht="15.75" customHeight="1">
      <c r="H320" s="14"/>
    </row>
    <row r="321" ht="15.75" customHeight="1">
      <c r="H321" s="14"/>
    </row>
    <row r="322" ht="15.75" customHeight="1">
      <c r="H322" s="14"/>
    </row>
    <row r="323" ht="15.75" customHeight="1">
      <c r="H323" s="14"/>
    </row>
    <row r="324" ht="15.75" customHeight="1">
      <c r="H324" s="14"/>
    </row>
    <row r="325" ht="15.75" customHeight="1">
      <c r="H325" s="14"/>
    </row>
    <row r="326" ht="15.75" customHeight="1">
      <c r="H326" s="14"/>
    </row>
    <row r="327" ht="15.75" customHeight="1">
      <c r="H327" s="14"/>
    </row>
    <row r="328" ht="15.75" customHeight="1">
      <c r="H328" s="14"/>
    </row>
    <row r="329" ht="15.75" customHeight="1">
      <c r="H329" s="14"/>
    </row>
    <row r="330" ht="15.75" customHeight="1">
      <c r="H330" s="14"/>
    </row>
    <row r="331" ht="15.75" customHeight="1">
      <c r="H331" s="14"/>
    </row>
    <row r="332" ht="15.75" customHeight="1">
      <c r="H332" s="14"/>
    </row>
    <row r="333" ht="15.75" customHeight="1">
      <c r="H333" s="14"/>
    </row>
    <row r="334" ht="15.75" customHeight="1">
      <c r="H334" s="14"/>
    </row>
    <row r="335" ht="15.75" customHeight="1">
      <c r="H335" s="14"/>
    </row>
    <row r="336" ht="15.75" customHeight="1">
      <c r="H336" s="14"/>
    </row>
    <row r="337" ht="15.75" customHeight="1">
      <c r="H337" s="14"/>
    </row>
    <row r="338" ht="15.75" customHeight="1">
      <c r="H338" s="14"/>
    </row>
    <row r="339" ht="15.75" customHeight="1">
      <c r="H339" s="14"/>
    </row>
    <row r="340" ht="15.75" customHeight="1">
      <c r="H340" s="14"/>
    </row>
    <row r="341" ht="15.75" customHeight="1">
      <c r="H341" s="14"/>
    </row>
    <row r="342" ht="15.75" customHeight="1">
      <c r="H342" s="14"/>
    </row>
    <row r="343" ht="15.75" customHeight="1">
      <c r="H343" s="14"/>
    </row>
    <row r="344" ht="15.75" customHeight="1">
      <c r="H344" s="14"/>
    </row>
    <row r="345" ht="15.75" customHeight="1">
      <c r="H345" s="14"/>
    </row>
    <row r="346" ht="15.75" customHeight="1">
      <c r="H346" s="14"/>
    </row>
    <row r="347" ht="15.75" customHeight="1">
      <c r="H347" s="14"/>
    </row>
    <row r="348" ht="15.75" customHeight="1">
      <c r="H348" s="14"/>
    </row>
    <row r="349" ht="15.75" customHeight="1">
      <c r="H349" s="14"/>
    </row>
    <row r="350" ht="15.75" customHeight="1">
      <c r="H350" s="14"/>
    </row>
    <row r="351" ht="15.75" customHeight="1">
      <c r="H351" s="14"/>
    </row>
    <row r="352" ht="15.75" customHeight="1">
      <c r="H352" s="14"/>
    </row>
    <row r="353" ht="15.75" customHeight="1">
      <c r="H353" s="14"/>
    </row>
    <row r="354" ht="15.75" customHeight="1">
      <c r="H354" s="14"/>
    </row>
    <row r="355" ht="15.75" customHeight="1">
      <c r="H355" s="14"/>
    </row>
    <row r="356" ht="15.75" customHeight="1">
      <c r="H356" s="14"/>
    </row>
    <row r="357" ht="15.75" customHeight="1">
      <c r="H357" s="14"/>
    </row>
    <row r="358" ht="15.75" customHeight="1">
      <c r="H358" s="14"/>
    </row>
    <row r="359" ht="15.75" customHeight="1">
      <c r="H359" s="14"/>
    </row>
    <row r="360" ht="15.75" customHeight="1">
      <c r="H360" s="14"/>
    </row>
    <row r="361" ht="15.75" customHeight="1">
      <c r="H361" s="14"/>
    </row>
    <row r="362" ht="15.75" customHeight="1">
      <c r="H362" s="14"/>
    </row>
    <row r="363" ht="15.75" customHeight="1">
      <c r="H363" s="14"/>
    </row>
    <row r="364" ht="15.75" customHeight="1">
      <c r="H364" s="14"/>
    </row>
    <row r="365" ht="15.75" customHeight="1">
      <c r="H365" s="14"/>
    </row>
    <row r="366" ht="15.75" customHeight="1">
      <c r="H366" s="14"/>
    </row>
    <row r="367" ht="15.75" customHeight="1">
      <c r="H367" s="14"/>
    </row>
    <row r="368" ht="15.75" customHeight="1">
      <c r="H368" s="14"/>
    </row>
    <row r="369" ht="15.75" customHeight="1">
      <c r="H369" s="14"/>
    </row>
    <row r="370" ht="15.75" customHeight="1">
      <c r="H370" s="14"/>
    </row>
    <row r="371" ht="15.75" customHeight="1">
      <c r="H371" s="14"/>
    </row>
    <row r="372" ht="15.75" customHeight="1">
      <c r="H372" s="14"/>
    </row>
    <row r="373" ht="15.75" customHeight="1">
      <c r="H373" s="14"/>
    </row>
    <row r="374" ht="15.75" customHeight="1">
      <c r="H374" s="14"/>
    </row>
    <row r="375" ht="15.75" customHeight="1">
      <c r="H375" s="14"/>
    </row>
    <row r="376" ht="15.75" customHeight="1">
      <c r="H376" s="14"/>
    </row>
    <row r="377" ht="15.75" customHeight="1">
      <c r="H377" s="14"/>
    </row>
    <row r="378" ht="15.75" customHeight="1">
      <c r="H378" s="14"/>
    </row>
    <row r="379" ht="15.75" customHeight="1">
      <c r="H379" s="14"/>
    </row>
    <row r="380" ht="15.75" customHeight="1">
      <c r="H380" s="14"/>
    </row>
    <row r="381" ht="15.75" customHeight="1">
      <c r="H381" s="14"/>
    </row>
    <row r="382" ht="15.75" customHeight="1">
      <c r="H382" s="14"/>
    </row>
    <row r="383" ht="15.75" customHeight="1">
      <c r="H383" s="14"/>
    </row>
    <row r="384" ht="15.75" customHeight="1">
      <c r="H384" s="14"/>
    </row>
    <row r="385" ht="15.75" customHeight="1">
      <c r="H385" s="14"/>
    </row>
    <row r="386" ht="15.75" customHeight="1">
      <c r="H386" s="14"/>
    </row>
    <row r="387" ht="15.75" customHeight="1">
      <c r="H387" s="14"/>
    </row>
    <row r="388" ht="15.75" customHeight="1">
      <c r="H388" s="14"/>
    </row>
    <row r="389" ht="15.75" customHeight="1">
      <c r="H389" s="14"/>
    </row>
    <row r="390" ht="15.75" customHeight="1">
      <c r="H390" s="14"/>
    </row>
    <row r="391" ht="15.75" customHeight="1">
      <c r="H391" s="14"/>
    </row>
    <row r="392" ht="15.75" customHeight="1">
      <c r="H392" s="14"/>
    </row>
    <row r="393" ht="15.75" customHeight="1">
      <c r="H393" s="14"/>
    </row>
    <row r="394" ht="15.75" customHeight="1">
      <c r="H394" s="14"/>
    </row>
    <row r="395" ht="15.75" customHeight="1">
      <c r="H395" s="14"/>
    </row>
    <row r="396" ht="15.75" customHeight="1">
      <c r="H396" s="14"/>
    </row>
    <row r="397" ht="15.75" customHeight="1">
      <c r="H397" s="14"/>
    </row>
    <row r="398" ht="15.75" customHeight="1">
      <c r="H398" s="14"/>
    </row>
    <row r="399" ht="15.75" customHeight="1">
      <c r="H399" s="14"/>
    </row>
    <row r="400" ht="15.75" customHeight="1">
      <c r="H400" s="14"/>
    </row>
    <row r="401" ht="15.75" customHeight="1">
      <c r="H401" s="14"/>
    </row>
    <row r="402" ht="15.75" customHeight="1">
      <c r="H402" s="14"/>
    </row>
    <row r="403" ht="15.75" customHeight="1">
      <c r="H403" s="14"/>
    </row>
    <row r="404" ht="15.75" customHeight="1">
      <c r="H404" s="14"/>
    </row>
    <row r="405" ht="15.75" customHeight="1">
      <c r="H405" s="14"/>
    </row>
    <row r="406" ht="15.75" customHeight="1">
      <c r="H406" s="14"/>
    </row>
    <row r="407" ht="15.75" customHeight="1">
      <c r="H407" s="14"/>
    </row>
    <row r="408" ht="15.75" customHeight="1">
      <c r="H408" s="14"/>
    </row>
    <row r="409" ht="15.75" customHeight="1">
      <c r="H409" s="14"/>
    </row>
    <row r="410" ht="15.75" customHeight="1">
      <c r="H410" s="14"/>
    </row>
    <row r="411" ht="15.75" customHeight="1">
      <c r="H411" s="14"/>
    </row>
    <row r="412" ht="15.75" customHeight="1">
      <c r="H412" s="14"/>
    </row>
    <row r="413" ht="15.75" customHeight="1">
      <c r="H413" s="14"/>
    </row>
    <row r="414" ht="15.75" customHeight="1">
      <c r="H414" s="14"/>
    </row>
    <row r="415" ht="15.75" customHeight="1">
      <c r="H415" s="14"/>
    </row>
    <row r="416" ht="15.75" customHeight="1">
      <c r="H416" s="14"/>
    </row>
    <row r="417" ht="15.75" customHeight="1">
      <c r="H417" s="14"/>
    </row>
    <row r="418" ht="15.75" customHeight="1">
      <c r="H418" s="14"/>
    </row>
    <row r="419" ht="15.75" customHeight="1">
      <c r="H419" s="14"/>
    </row>
    <row r="420" ht="15.75" customHeight="1">
      <c r="H420" s="14"/>
    </row>
    <row r="421" ht="15.75" customHeight="1">
      <c r="H421" s="14"/>
    </row>
    <row r="422" ht="15.75" customHeight="1">
      <c r="H422" s="14"/>
    </row>
    <row r="423" ht="15.75" customHeight="1">
      <c r="H423" s="14"/>
    </row>
    <row r="424" ht="15.75" customHeight="1">
      <c r="H424" s="14"/>
    </row>
    <row r="425" ht="15.75" customHeight="1">
      <c r="H425" s="14"/>
    </row>
    <row r="426" ht="15.75" customHeight="1">
      <c r="H426" s="14"/>
    </row>
    <row r="427" ht="15.75" customHeight="1">
      <c r="H427" s="14"/>
    </row>
    <row r="428" ht="15.75" customHeight="1">
      <c r="H428" s="14"/>
    </row>
    <row r="429" ht="15.75" customHeight="1">
      <c r="H429" s="14"/>
    </row>
    <row r="430" ht="15.75" customHeight="1">
      <c r="H430" s="14"/>
    </row>
    <row r="431" ht="15.75" customHeight="1">
      <c r="H431" s="14"/>
    </row>
    <row r="432" ht="15.75" customHeight="1">
      <c r="H432" s="14"/>
    </row>
    <row r="433" ht="15.75" customHeight="1">
      <c r="H433" s="14"/>
    </row>
    <row r="434" ht="15.75" customHeight="1">
      <c r="H434" s="14"/>
    </row>
    <row r="435" ht="15.75" customHeight="1">
      <c r="H435" s="14"/>
    </row>
    <row r="436" ht="15.75" customHeight="1">
      <c r="H436" s="14"/>
    </row>
    <row r="437" ht="15.75" customHeight="1">
      <c r="H437" s="14"/>
    </row>
    <row r="438" ht="15.75" customHeight="1">
      <c r="H438" s="14"/>
    </row>
    <row r="439" ht="15.75" customHeight="1">
      <c r="H439" s="14"/>
    </row>
    <row r="440" ht="15.75" customHeight="1">
      <c r="H440" s="14"/>
    </row>
    <row r="441" ht="15.75" customHeight="1">
      <c r="H441" s="14"/>
    </row>
    <row r="442" ht="15.75" customHeight="1">
      <c r="H442" s="14"/>
    </row>
    <row r="443" ht="15.75" customHeight="1">
      <c r="H443" s="14"/>
    </row>
    <row r="444" ht="15.75" customHeight="1">
      <c r="H444" s="14"/>
    </row>
    <row r="445" ht="15.75" customHeight="1">
      <c r="H445" s="14"/>
    </row>
    <row r="446" ht="15.75" customHeight="1">
      <c r="H446" s="14"/>
    </row>
    <row r="447" ht="15.75" customHeight="1">
      <c r="H447" s="14"/>
    </row>
    <row r="448" ht="15.75" customHeight="1">
      <c r="H448" s="14"/>
    </row>
    <row r="449" ht="15.75" customHeight="1">
      <c r="H449" s="14"/>
    </row>
    <row r="450" ht="15.75" customHeight="1">
      <c r="H450" s="14"/>
    </row>
    <row r="451" ht="15.75" customHeight="1">
      <c r="H451" s="14"/>
    </row>
    <row r="452" ht="15.75" customHeight="1">
      <c r="H452" s="14"/>
    </row>
    <row r="453" ht="15.75" customHeight="1">
      <c r="H453" s="14"/>
    </row>
    <row r="454" ht="15.75" customHeight="1">
      <c r="H454" s="14"/>
    </row>
    <row r="455" ht="15.75" customHeight="1">
      <c r="H455" s="14"/>
    </row>
    <row r="456" ht="15.75" customHeight="1">
      <c r="H456" s="14"/>
    </row>
    <row r="457" ht="15.75" customHeight="1">
      <c r="H457" s="14"/>
    </row>
    <row r="458" ht="15.75" customHeight="1">
      <c r="H458" s="14"/>
    </row>
    <row r="459" ht="15.75" customHeight="1">
      <c r="H459" s="14"/>
    </row>
    <row r="460" ht="15.75" customHeight="1">
      <c r="H460" s="14"/>
    </row>
    <row r="461" ht="15.75" customHeight="1">
      <c r="H461" s="14"/>
    </row>
    <row r="462" ht="15.75" customHeight="1">
      <c r="H462" s="14"/>
    </row>
    <row r="463" ht="15.75" customHeight="1">
      <c r="H463" s="14"/>
    </row>
    <row r="464" ht="15.75" customHeight="1">
      <c r="H464" s="14"/>
    </row>
    <row r="465" ht="15.75" customHeight="1">
      <c r="H465" s="14"/>
    </row>
    <row r="466" ht="15.75" customHeight="1">
      <c r="H466" s="14"/>
    </row>
    <row r="467" ht="15.75" customHeight="1">
      <c r="H467" s="14"/>
    </row>
    <row r="468" ht="15.75" customHeight="1">
      <c r="H468" s="14"/>
    </row>
    <row r="469" ht="15.75" customHeight="1">
      <c r="H469" s="14"/>
    </row>
    <row r="470" ht="15.75" customHeight="1">
      <c r="H470" s="14"/>
    </row>
    <row r="471" ht="15.75" customHeight="1">
      <c r="H471" s="14"/>
    </row>
    <row r="472" ht="15.75" customHeight="1">
      <c r="H472" s="14"/>
    </row>
    <row r="473" ht="15.75" customHeight="1">
      <c r="H473" s="14"/>
    </row>
    <row r="474" ht="15.75" customHeight="1">
      <c r="H474" s="14"/>
    </row>
    <row r="475" ht="15.75" customHeight="1">
      <c r="H475" s="14"/>
    </row>
    <row r="476" ht="15.75" customHeight="1">
      <c r="H476" s="14"/>
    </row>
    <row r="477" ht="15.75" customHeight="1">
      <c r="H477" s="14"/>
    </row>
    <row r="478" ht="15.75" customHeight="1">
      <c r="H478" s="14"/>
    </row>
    <row r="479" ht="15.75" customHeight="1">
      <c r="H479" s="14"/>
    </row>
    <row r="480" ht="15.75" customHeight="1">
      <c r="H480" s="14"/>
    </row>
    <row r="481" ht="15.75" customHeight="1">
      <c r="H481" s="14"/>
    </row>
    <row r="482" ht="15.75" customHeight="1">
      <c r="H482" s="14"/>
    </row>
    <row r="483" ht="15.75" customHeight="1">
      <c r="H483" s="14"/>
    </row>
    <row r="484" ht="15.75" customHeight="1">
      <c r="H484" s="14"/>
    </row>
    <row r="485" ht="15.75" customHeight="1">
      <c r="H485" s="14"/>
    </row>
    <row r="486" ht="15.75" customHeight="1">
      <c r="H486" s="14"/>
    </row>
    <row r="487" ht="15.75" customHeight="1">
      <c r="H487" s="14"/>
    </row>
    <row r="488" ht="15.75" customHeight="1">
      <c r="H488" s="14"/>
    </row>
    <row r="489" ht="15.75" customHeight="1">
      <c r="H489" s="14"/>
    </row>
    <row r="490" ht="15.75" customHeight="1">
      <c r="H490" s="14"/>
    </row>
    <row r="491" ht="15.75" customHeight="1">
      <c r="H491" s="14"/>
    </row>
    <row r="492" ht="15.75" customHeight="1">
      <c r="H492" s="14"/>
    </row>
    <row r="493" ht="15.75" customHeight="1">
      <c r="H493" s="14"/>
    </row>
    <row r="494" ht="15.75" customHeight="1">
      <c r="H494" s="14"/>
    </row>
    <row r="495" ht="15.75" customHeight="1">
      <c r="H495" s="14"/>
    </row>
    <row r="496" ht="15.75" customHeight="1">
      <c r="H496" s="14"/>
    </row>
    <row r="497" ht="15.75" customHeight="1">
      <c r="H497" s="14"/>
    </row>
    <row r="498" ht="15.75" customHeight="1">
      <c r="H498" s="14"/>
    </row>
    <row r="499" ht="15.75" customHeight="1">
      <c r="H499" s="14"/>
    </row>
    <row r="500" ht="15.75" customHeight="1">
      <c r="H500" s="14"/>
    </row>
    <row r="501" ht="15.75" customHeight="1">
      <c r="H501" s="14"/>
    </row>
    <row r="502" ht="15.75" customHeight="1">
      <c r="H502" s="14"/>
    </row>
    <row r="503" ht="15.75" customHeight="1">
      <c r="H503" s="14"/>
    </row>
    <row r="504" ht="15.75" customHeight="1">
      <c r="H504" s="14"/>
    </row>
    <row r="505" ht="15.75" customHeight="1">
      <c r="H505" s="14"/>
    </row>
    <row r="506" ht="15.75" customHeight="1">
      <c r="H506" s="14"/>
    </row>
    <row r="507" ht="15.75" customHeight="1">
      <c r="H507" s="14"/>
    </row>
    <row r="508" ht="15.75" customHeight="1">
      <c r="H508" s="14"/>
    </row>
    <row r="509" ht="15.75" customHeight="1">
      <c r="H509" s="14"/>
    </row>
    <row r="510" ht="15.75" customHeight="1">
      <c r="H510" s="14"/>
    </row>
    <row r="511" ht="15.75" customHeight="1">
      <c r="H511" s="14"/>
    </row>
    <row r="512" ht="15.75" customHeight="1">
      <c r="H512" s="14"/>
    </row>
    <row r="513" ht="15.75" customHeight="1">
      <c r="H513" s="14"/>
    </row>
    <row r="514" ht="15.75" customHeight="1">
      <c r="H514" s="14"/>
    </row>
    <row r="515" ht="15.75" customHeight="1">
      <c r="H515" s="14"/>
    </row>
    <row r="516" ht="15.75" customHeight="1">
      <c r="H516" s="14"/>
    </row>
    <row r="517" ht="15.75" customHeight="1">
      <c r="H517" s="14"/>
    </row>
    <row r="518" ht="15.75" customHeight="1">
      <c r="H518" s="14"/>
    </row>
    <row r="519" ht="15.75" customHeight="1">
      <c r="H519" s="14"/>
    </row>
    <row r="520" ht="15.75" customHeight="1">
      <c r="H520" s="14"/>
    </row>
    <row r="521" ht="15.75" customHeight="1">
      <c r="H521" s="14"/>
    </row>
    <row r="522" ht="15.75" customHeight="1">
      <c r="H522" s="14"/>
    </row>
    <row r="523" ht="15.75" customHeight="1">
      <c r="H523" s="14"/>
    </row>
    <row r="524" ht="15.75" customHeight="1">
      <c r="H524" s="14"/>
    </row>
    <row r="525" ht="15.75" customHeight="1">
      <c r="H525" s="14"/>
    </row>
    <row r="526" ht="15.75" customHeight="1">
      <c r="H526" s="14"/>
    </row>
    <row r="527" ht="15.75" customHeight="1">
      <c r="H527" s="14"/>
    </row>
    <row r="528" ht="15.75" customHeight="1">
      <c r="H528" s="14"/>
    </row>
    <row r="529" ht="15.75" customHeight="1">
      <c r="H529" s="14"/>
    </row>
    <row r="530" ht="15.75" customHeight="1">
      <c r="H530" s="14"/>
    </row>
    <row r="531" ht="15.75" customHeight="1">
      <c r="H531" s="14"/>
    </row>
    <row r="532" ht="15.75" customHeight="1">
      <c r="H532" s="14"/>
    </row>
    <row r="533" ht="15.75" customHeight="1">
      <c r="H533" s="14"/>
    </row>
    <row r="534" ht="15.75" customHeight="1">
      <c r="H534" s="14"/>
    </row>
    <row r="535" ht="15.75" customHeight="1">
      <c r="H535" s="14"/>
    </row>
    <row r="536" ht="15.75" customHeight="1">
      <c r="H536" s="14"/>
    </row>
    <row r="537" ht="15.75" customHeight="1">
      <c r="H537" s="14"/>
    </row>
    <row r="538" ht="15.75" customHeight="1">
      <c r="H538" s="14"/>
    </row>
    <row r="539" ht="15.75" customHeight="1">
      <c r="H539" s="14"/>
    </row>
    <row r="540" ht="15.75" customHeight="1">
      <c r="H540" s="14"/>
    </row>
    <row r="541" ht="15.75" customHeight="1">
      <c r="H541" s="14"/>
    </row>
    <row r="542" ht="15.75" customHeight="1">
      <c r="H542" s="14"/>
    </row>
    <row r="543" ht="15.75" customHeight="1">
      <c r="H543" s="14"/>
    </row>
    <row r="544" ht="15.75" customHeight="1">
      <c r="H544" s="14"/>
    </row>
    <row r="545" ht="15.75" customHeight="1">
      <c r="H545" s="14"/>
    </row>
    <row r="546" ht="15.75" customHeight="1">
      <c r="H546" s="14"/>
    </row>
    <row r="547" ht="15.75" customHeight="1">
      <c r="H547" s="14"/>
    </row>
    <row r="548" ht="15.75" customHeight="1">
      <c r="H548" s="14"/>
    </row>
    <row r="549" ht="15.75" customHeight="1">
      <c r="H549" s="14"/>
    </row>
    <row r="550" ht="15.75" customHeight="1">
      <c r="H550" s="14"/>
    </row>
    <row r="551" ht="15.75" customHeight="1">
      <c r="H551" s="14"/>
    </row>
    <row r="552" ht="15.75" customHeight="1">
      <c r="H552" s="14"/>
    </row>
    <row r="553" ht="15.75" customHeight="1">
      <c r="H553" s="14"/>
    </row>
    <row r="554" ht="15.75" customHeight="1">
      <c r="H554" s="14"/>
    </row>
    <row r="555" ht="15.75" customHeight="1">
      <c r="H555" s="14"/>
    </row>
    <row r="556" ht="15.75" customHeight="1">
      <c r="H556" s="14"/>
    </row>
    <row r="557" ht="15.75" customHeight="1">
      <c r="H557" s="14"/>
    </row>
    <row r="558" ht="15.75" customHeight="1">
      <c r="H558" s="14"/>
    </row>
    <row r="559" ht="15.75" customHeight="1">
      <c r="H559" s="14"/>
    </row>
    <row r="560" ht="15.75" customHeight="1">
      <c r="H560" s="14"/>
    </row>
    <row r="561" ht="15.75" customHeight="1">
      <c r="H561" s="14"/>
    </row>
    <row r="562" ht="15.75" customHeight="1">
      <c r="H562" s="14"/>
    </row>
    <row r="563" ht="15.75" customHeight="1">
      <c r="H563" s="14"/>
    </row>
    <row r="564" ht="15.75" customHeight="1">
      <c r="H564" s="14"/>
    </row>
    <row r="565" ht="15.75" customHeight="1">
      <c r="H565" s="14"/>
    </row>
    <row r="566" ht="15.75" customHeight="1">
      <c r="H566" s="14"/>
    </row>
    <row r="567" ht="15.75" customHeight="1">
      <c r="H567" s="14"/>
    </row>
    <row r="568" ht="15.75" customHeight="1">
      <c r="H568" s="14"/>
    </row>
    <row r="569" ht="15.75" customHeight="1">
      <c r="H569" s="14"/>
    </row>
    <row r="570" ht="15.75" customHeight="1">
      <c r="H570" s="14"/>
    </row>
    <row r="571" ht="15.75" customHeight="1">
      <c r="H571" s="14"/>
    </row>
    <row r="572" ht="15.75" customHeight="1">
      <c r="H572" s="14"/>
    </row>
    <row r="573" ht="15.75" customHeight="1">
      <c r="H573" s="14"/>
    </row>
    <row r="574" ht="15.75" customHeight="1">
      <c r="H574" s="14"/>
    </row>
    <row r="575" ht="15.75" customHeight="1">
      <c r="H575" s="14"/>
    </row>
    <row r="576" ht="15.75" customHeight="1">
      <c r="H576" s="14"/>
    </row>
    <row r="577" ht="15.75" customHeight="1">
      <c r="H577" s="14"/>
    </row>
    <row r="578" ht="15.75" customHeight="1">
      <c r="H578" s="14"/>
    </row>
    <row r="579" ht="15.75" customHeight="1">
      <c r="H579" s="14"/>
    </row>
    <row r="580" ht="15.75" customHeight="1">
      <c r="H580" s="14"/>
    </row>
    <row r="581" ht="15.75" customHeight="1">
      <c r="H581" s="14"/>
    </row>
    <row r="582" ht="15.75" customHeight="1">
      <c r="H582" s="14"/>
    </row>
    <row r="583" ht="15.75" customHeight="1">
      <c r="H583" s="14"/>
    </row>
    <row r="584" ht="15.75" customHeight="1">
      <c r="H584" s="14"/>
    </row>
    <row r="585" ht="15.75" customHeight="1">
      <c r="H585" s="14"/>
    </row>
    <row r="586" ht="15.75" customHeight="1">
      <c r="H586" s="14"/>
    </row>
    <row r="587" ht="15.75" customHeight="1">
      <c r="H587" s="14"/>
    </row>
    <row r="588" ht="15.75" customHeight="1">
      <c r="H588" s="14"/>
    </row>
    <row r="589" ht="15.75" customHeight="1">
      <c r="H589" s="14"/>
    </row>
    <row r="590" ht="15.75" customHeight="1">
      <c r="H590" s="14"/>
    </row>
    <row r="591" ht="15.75" customHeight="1">
      <c r="H591" s="14"/>
    </row>
    <row r="592" ht="15.75" customHeight="1">
      <c r="H592" s="14"/>
    </row>
    <row r="593" ht="15.75" customHeight="1">
      <c r="H593" s="14"/>
    </row>
    <row r="594" ht="15.75" customHeight="1">
      <c r="H594" s="14"/>
    </row>
    <row r="595" ht="15.75" customHeight="1">
      <c r="H595" s="14"/>
    </row>
    <row r="596" ht="15.75" customHeight="1">
      <c r="H596" s="14"/>
    </row>
    <row r="597" ht="15.75" customHeight="1">
      <c r="H597" s="14"/>
    </row>
    <row r="598" ht="15.75" customHeight="1">
      <c r="H598" s="14"/>
    </row>
    <row r="599" ht="15.75" customHeight="1">
      <c r="H599" s="14"/>
    </row>
    <row r="600" ht="15.75" customHeight="1">
      <c r="H600" s="14"/>
    </row>
    <row r="601" ht="15.75" customHeight="1">
      <c r="H601" s="14"/>
    </row>
    <row r="602" ht="15.75" customHeight="1">
      <c r="H602" s="14"/>
    </row>
    <row r="603" ht="15.75" customHeight="1">
      <c r="H603" s="14"/>
    </row>
    <row r="604" ht="15.75" customHeight="1">
      <c r="H604" s="14"/>
    </row>
    <row r="605" ht="15.75" customHeight="1">
      <c r="H605" s="14"/>
    </row>
    <row r="606" ht="15.75" customHeight="1">
      <c r="H606" s="14"/>
    </row>
    <row r="607" ht="15.75" customHeight="1">
      <c r="H607" s="14"/>
    </row>
    <row r="608" ht="15.75" customHeight="1">
      <c r="H608" s="14"/>
    </row>
    <row r="609" ht="15.75" customHeight="1">
      <c r="H609" s="14"/>
    </row>
    <row r="610" ht="15.75" customHeight="1">
      <c r="H610" s="14"/>
    </row>
    <row r="611" ht="15.75" customHeight="1">
      <c r="H611" s="14"/>
    </row>
    <row r="612" ht="15.75" customHeight="1">
      <c r="H612" s="14"/>
    </row>
    <row r="613" ht="15.75" customHeight="1">
      <c r="H613" s="14"/>
    </row>
    <row r="614" ht="15.75" customHeight="1">
      <c r="H614" s="14"/>
    </row>
    <row r="615" ht="15.75" customHeight="1">
      <c r="H615" s="14"/>
    </row>
    <row r="616" ht="15.75" customHeight="1">
      <c r="H616" s="14"/>
    </row>
    <row r="617" ht="15.75" customHeight="1">
      <c r="H617" s="14"/>
    </row>
    <row r="618" ht="15.75" customHeight="1">
      <c r="H618" s="14"/>
    </row>
    <row r="619" ht="15.75" customHeight="1">
      <c r="H619" s="14"/>
    </row>
    <row r="620" ht="15.75" customHeight="1">
      <c r="H620" s="14"/>
    </row>
    <row r="621" ht="15.75" customHeight="1">
      <c r="H621" s="14"/>
    </row>
    <row r="622" ht="15.75" customHeight="1">
      <c r="H622" s="14"/>
    </row>
    <row r="623" ht="15.75" customHeight="1">
      <c r="H623" s="14"/>
    </row>
    <row r="624" ht="15.75" customHeight="1">
      <c r="H624" s="14"/>
    </row>
    <row r="625" ht="15.75" customHeight="1">
      <c r="H625" s="14"/>
    </row>
    <row r="626" ht="15.75" customHeight="1">
      <c r="H626" s="14"/>
    </row>
    <row r="627" ht="15.75" customHeight="1">
      <c r="H627" s="14"/>
    </row>
    <row r="628" ht="15.75" customHeight="1">
      <c r="H628" s="14"/>
    </row>
    <row r="629" ht="15.75" customHeight="1">
      <c r="H629" s="14"/>
    </row>
    <row r="630" ht="15.75" customHeight="1">
      <c r="H630" s="14"/>
    </row>
    <row r="631" ht="15.75" customHeight="1">
      <c r="H631" s="14"/>
    </row>
    <row r="632" ht="15.75" customHeight="1">
      <c r="H632" s="14"/>
    </row>
    <row r="633" ht="15.75" customHeight="1">
      <c r="H633" s="14"/>
    </row>
    <row r="634" ht="15.75" customHeight="1">
      <c r="H634" s="14"/>
    </row>
    <row r="635" ht="15.75" customHeight="1">
      <c r="H635" s="14"/>
    </row>
    <row r="636" ht="15.75" customHeight="1">
      <c r="H636" s="14"/>
    </row>
    <row r="637" ht="15.75" customHeight="1">
      <c r="H637" s="14"/>
    </row>
    <row r="638" ht="15.75" customHeight="1">
      <c r="H638" s="14"/>
    </row>
    <row r="639" ht="15.75" customHeight="1">
      <c r="H639" s="14"/>
    </row>
    <row r="640" ht="15.75" customHeight="1">
      <c r="H640" s="14"/>
    </row>
    <row r="641" ht="15.75" customHeight="1">
      <c r="H641" s="14"/>
    </row>
    <row r="642" ht="15.75" customHeight="1">
      <c r="H642" s="14"/>
    </row>
    <row r="643" ht="15.75" customHeight="1">
      <c r="H643" s="14"/>
    </row>
    <row r="644" ht="15.75" customHeight="1">
      <c r="H644" s="14"/>
    </row>
    <row r="645" ht="15.75" customHeight="1">
      <c r="H645" s="14"/>
    </row>
    <row r="646" ht="15.75" customHeight="1">
      <c r="H646" s="14"/>
    </row>
    <row r="647" ht="15.75" customHeight="1">
      <c r="H647" s="14"/>
    </row>
    <row r="648" ht="15.75" customHeight="1">
      <c r="H648" s="14"/>
    </row>
    <row r="649" ht="15.75" customHeight="1">
      <c r="H649" s="14"/>
    </row>
    <row r="650" ht="15.75" customHeight="1">
      <c r="H650" s="14"/>
    </row>
    <row r="651" ht="15.75" customHeight="1">
      <c r="H651" s="14"/>
    </row>
    <row r="652" ht="15.75" customHeight="1">
      <c r="H652" s="14"/>
    </row>
    <row r="653" ht="15.75" customHeight="1">
      <c r="H653" s="14"/>
    </row>
    <row r="654" ht="15.75" customHeight="1">
      <c r="H654" s="14"/>
    </row>
    <row r="655" ht="15.75" customHeight="1">
      <c r="H655" s="14"/>
    </row>
    <row r="656" ht="15.75" customHeight="1">
      <c r="H656" s="14"/>
    </row>
    <row r="657" ht="15.75" customHeight="1">
      <c r="H657" s="14"/>
    </row>
    <row r="658" ht="15.75" customHeight="1">
      <c r="H658" s="14"/>
    </row>
    <row r="659" ht="15.75" customHeight="1">
      <c r="H659" s="14"/>
    </row>
    <row r="660" ht="15.75" customHeight="1">
      <c r="H660" s="14"/>
    </row>
    <row r="661" ht="15.75" customHeight="1">
      <c r="H661" s="14"/>
    </row>
    <row r="662" ht="15.75" customHeight="1">
      <c r="H662" s="14"/>
    </row>
    <row r="663" ht="15.75" customHeight="1">
      <c r="H663" s="14"/>
    </row>
    <row r="664" ht="15.75" customHeight="1">
      <c r="H664" s="14"/>
    </row>
    <row r="665" ht="15.75" customHeight="1">
      <c r="H665" s="14"/>
    </row>
    <row r="666" ht="15.75" customHeight="1">
      <c r="H666" s="14"/>
    </row>
    <row r="667" ht="15.75" customHeight="1">
      <c r="H667" s="14"/>
    </row>
    <row r="668" ht="15.75" customHeight="1">
      <c r="H668" s="14"/>
    </row>
    <row r="669" ht="15.75" customHeight="1">
      <c r="H669" s="14"/>
    </row>
    <row r="670" ht="15.75" customHeight="1">
      <c r="H670" s="14"/>
    </row>
    <row r="671" ht="15.75" customHeight="1">
      <c r="H671" s="14"/>
    </row>
    <row r="672" ht="15.75" customHeight="1">
      <c r="H672" s="14"/>
    </row>
    <row r="673" ht="15.75" customHeight="1">
      <c r="H673" s="14"/>
    </row>
    <row r="674" ht="15.75" customHeight="1">
      <c r="H674" s="14"/>
    </row>
    <row r="675" ht="15.75" customHeight="1">
      <c r="H675" s="14"/>
    </row>
    <row r="676" ht="15.75" customHeight="1">
      <c r="H676" s="14"/>
    </row>
    <row r="677" ht="15.75" customHeight="1">
      <c r="H677" s="14"/>
    </row>
    <row r="678" ht="15.75" customHeight="1">
      <c r="H678" s="14"/>
    </row>
    <row r="679" ht="15.75" customHeight="1">
      <c r="H679" s="14"/>
    </row>
    <row r="680" ht="15.75" customHeight="1">
      <c r="H680" s="14"/>
    </row>
    <row r="681" ht="15.75" customHeight="1">
      <c r="H681" s="14"/>
    </row>
    <row r="682" ht="15.75" customHeight="1">
      <c r="H682" s="14"/>
    </row>
    <row r="683" ht="15.75" customHeight="1">
      <c r="H683" s="14"/>
    </row>
    <row r="684" ht="15.75" customHeight="1">
      <c r="H684" s="14"/>
    </row>
    <row r="685" ht="15.75" customHeight="1">
      <c r="H685" s="14"/>
    </row>
    <row r="686" ht="15.75" customHeight="1">
      <c r="H686" s="14"/>
    </row>
    <row r="687" ht="15.75" customHeight="1">
      <c r="H687" s="14"/>
    </row>
    <row r="688" ht="15.75" customHeight="1">
      <c r="H688" s="14"/>
    </row>
    <row r="689" ht="15.75" customHeight="1">
      <c r="H689" s="14"/>
    </row>
    <row r="690" ht="15.75" customHeight="1">
      <c r="H690" s="14"/>
    </row>
    <row r="691" ht="15.75" customHeight="1">
      <c r="H691" s="14"/>
    </row>
    <row r="692" ht="15.75" customHeight="1">
      <c r="H692" s="14"/>
    </row>
    <row r="693" ht="15.75" customHeight="1">
      <c r="H693" s="14"/>
    </row>
    <row r="694" ht="15.75" customHeight="1">
      <c r="H694" s="14"/>
    </row>
    <row r="695" ht="15.75" customHeight="1">
      <c r="H695" s="14"/>
    </row>
    <row r="696" ht="15.75" customHeight="1">
      <c r="H696" s="14"/>
    </row>
    <row r="697" ht="15.75" customHeight="1">
      <c r="H697" s="14"/>
    </row>
    <row r="698" ht="15.75" customHeight="1">
      <c r="H698" s="14"/>
    </row>
    <row r="699" ht="15.75" customHeight="1">
      <c r="H699" s="14"/>
    </row>
    <row r="700" ht="15.75" customHeight="1">
      <c r="H700" s="14"/>
    </row>
    <row r="701" ht="15.75" customHeight="1">
      <c r="H701" s="14"/>
    </row>
    <row r="702" ht="15.75" customHeight="1">
      <c r="H702" s="14"/>
    </row>
    <row r="703" ht="15.75" customHeight="1">
      <c r="H703" s="14"/>
    </row>
    <row r="704" ht="15.75" customHeight="1">
      <c r="H704" s="14"/>
    </row>
    <row r="705" ht="15.75" customHeight="1">
      <c r="H705" s="14"/>
    </row>
    <row r="706" ht="15.75" customHeight="1">
      <c r="H706" s="14"/>
    </row>
    <row r="707" ht="15.75" customHeight="1">
      <c r="H707" s="14"/>
    </row>
    <row r="708" ht="15.75" customHeight="1">
      <c r="H708" s="14"/>
    </row>
    <row r="709" ht="15.75" customHeight="1">
      <c r="H709" s="14"/>
    </row>
    <row r="710" ht="15.75" customHeight="1">
      <c r="H710" s="14"/>
    </row>
    <row r="711" ht="15.75" customHeight="1">
      <c r="H711" s="14"/>
    </row>
    <row r="712" ht="15.75" customHeight="1">
      <c r="H712" s="14"/>
    </row>
    <row r="713" ht="15.75" customHeight="1">
      <c r="H713" s="14"/>
    </row>
    <row r="714" ht="15.75" customHeight="1">
      <c r="H714" s="14"/>
    </row>
    <row r="715" ht="15.75" customHeight="1">
      <c r="H715" s="14"/>
    </row>
    <row r="716" ht="15.75" customHeight="1">
      <c r="H716" s="14"/>
    </row>
    <row r="717" ht="15.75" customHeight="1">
      <c r="H717" s="14"/>
    </row>
    <row r="718" ht="15.75" customHeight="1">
      <c r="H718" s="14"/>
    </row>
    <row r="719" ht="15.75" customHeight="1">
      <c r="H719" s="14"/>
    </row>
    <row r="720" ht="15.75" customHeight="1">
      <c r="H720" s="14"/>
    </row>
    <row r="721" ht="15.75" customHeight="1">
      <c r="H721" s="14"/>
    </row>
    <row r="722" ht="15.75" customHeight="1">
      <c r="H722" s="14"/>
    </row>
    <row r="723" ht="15.75" customHeight="1">
      <c r="H723" s="14"/>
    </row>
    <row r="724" ht="15.75" customHeight="1">
      <c r="H724" s="14"/>
    </row>
    <row r="725" ht="15.75" customHeight="1">
      <c r="H725" s="14"/>
    </row>
    <row r="726" ht="15.75" customHeight="1">
      <c r="H726" s="14"/>
    </row>
    <row r="727" ht="15.75" customHeight="1">
      <c r="H727" s="14"/>
    </row>
    <row r="728" ht="15.75" customHeight="1">
      <c r="H728" s="14"/>
    </row>
    <row r="729" ht="15.75" customHeight="1">
      <c r="H729" s="14"/>
    </row>
    <row r="730" ht="15.75" customHeight="1">
      <c r="H730" s="14"/>
    </row>
    <row r="731" ht="15.75" customHeight="1">
      <c r="H731" s="14"/>
    </row>
    <row r="732" ht="15.75" customHeight="1">
      <c r="H732" s="14"/>
    </row>
    <row r="733" ht="15.75" customHeight="1">
      <c r="H733" s="14"/>
    </row>
    <row r="734" ht="15.75" customHeight="1">
      <c r="H734" s="14"/>
    </row>
    <row r="735" ht="15.75" customHeight="1">
      <c r="H735" s="14"/>
    </row>
    <row r="736" ht="15.75" customHeight="1">
      <c r="H736" s="14"/>
    </row>
    <row r="737" ht="15.75" customHeight="1">
      <c r="H737" s="14"/>
    </row>
    <row r="738" ht="15.75" customHeight="1">
      <c r="H738" s="14"/>
    </row>
    <row r="739" ht="15.75" customHeight="1">
      <c r="H739" s="14"/>
    </row>
    <row r="740" ht="15.75" customHeight="1">
      <c r="H740" s="14"/>
    </row>
    <row r="741" ht="15.75" customHeight="1">
      <c r="H741" s="14"/>
    </row>
    <row r="742" ht="15.75" customHeight="1">
      <c r="H742" s="14"/>
    </row>
    <row r="743" ht="15.75" customHeight="1">
      <c r="H743" s="14"/>
    </row>
    <row r="744" ht="15.75" customHeight="1">
      <c r="H744" s="14"/>
    </row>
    <row r="745" ht="15.75" customHeight="1">
      <c r="H745" s="14"/>
    </row>
    <row r="746" ht="15.75" customHeight="1">
      <c r="H746" s="14"/>
    </row>
    <row r="747" ht="15.75" customHeight="1">
      <c r="H747" s="14"/>
    </row>
    <row r="748" ht="15.75" customHeight="1">
      <c r="H748" s="14"/>
    </row>
    <row r="749" ht="15.75" customHeight="1">
      <c r="H749" s="14"/>
    </row>
    <row r="750" ht="15.75" customHeight="1">
      <c r="H750" s="14"/>
    </row>
    <row r="751" ht="15.75" customHeight="1">
      <c r="H751" s="14"/>
    </row>
    <row r="752" ht="15.75" customHeight="1">
      <c r="H752" s="14"/>
    </row>
    <row r="753" ht="15.75" customHeight="1">
      <c r="H753" s="14"/>
    </row>
    <row r="754" ht="15.75" customHeight="1">
      <c r="H754" s="14"/>
    </row>
    <row r="755" ht="15.75" customHeight="1">
      <c r="H755" s="14"/>
    </row>
    <row r="756" ht="15.75" customHeight="1">
      <c r="H756" s="14"/>
    </row>
    <row r="757" ht="15.75" customHeight="1">
      <c r="H757" s="14"/>
    </row>
    <row r="758" ht="15.75" customHeight="1">
      <c r="H758" s="14"/>
    </row>
    <row r="759" ht="15.75" customHeight="1">
      <c r="H759" s="14"/>
    </row>
    <row r="760" ht="15.75" customHeight="1">
      <c r="H760" s="14"/>
    </row>
    <row r="761" ht="15.75" customHeight="1">
      <c r="H761" s="14"/>
    </row>
    <row r="762" ht="15.75" customHeight="1">
      <c r="H762" s="14"/>
    </row>
    <row r="763" ht="15.75" customHeight="1">
      <c r="H763" s="14"/>
    </row>
    <row r="764" ht="15.75" customHeight="1">
      <c r="H764" s="14"/>
    </row>
    <row r="765" ht="15.75" customHeight="1">
      <c r="H765" s="14"/>
    </row>
    <row r="766" ht="15.75" customHeight="1">
      <c r="H766" s="14"/>
    </row>
    <row r="767" ht="15.75" customHeight="1">
      <c r="H767" s="14"/>
    </row>
    <row r="768" ht="15.75" customHeight="1">
      <c r="H768" s="14"/>
    </row>
    <row r="769" ht="15.75" customHeight="1">
      <c r="H769" s="14"/>
    </row>
    <row r="770" ht="15.75" customHeight="1">
      <c r="H770" s="14"/>
    </row>
    <row r="771" ht="15.75" customHeight="1">
      <c r="H771" s="14"/>
    </row>
    <row r="772" ht="15.75" customHeight="1">
      <c r="H772" s="14"/>
    </row>
    <row r="773" ht="15.75" customHeight="1">
      <c r="H773" s="14"/>
    </row>
    <row r="774" ht="15.75" customHeight="1">
      <c r="H774" s="14"/>
    </row>
    <row r="775" ht="15.75" customHeight="1">
      <c r="H775" s="14"/>
    </row>
    <row r="776" ht="15.75" customHeight="1">
      <c r="H776" s="14"/>
    </row>
    <row r="777" ht="15.75" customHeight="1">
      <c r="H777" s="14"/>
    </row>
    <row r="778" ht="15.75" customHeight="1">
      <c r="H778" s="14"/>
    </row>
    <row r="779" ht="15.75" customHeight="1">
      <c r="H779" s="14"/>
    </row>
    <row r="780" ht="15.75" customHeight="1">
      <c r="H780" s="14"/>
    </row>
    <row r="781" ht="15.75" customHeight="1">
      <c r="H781" s="14"/>
    </row>
    <row r="782" ht="15.75" customHeight="1">
      <c r="H782" s="14"/>
    </row>
    <row r="783" ht="15.75" customHeight="1">
      <c r="H783" s="14"/>
    </row>
    <row r="784" ht="15.75" customHeight="1">
      <c r="H784" s="14"/>
    </row>
    <row r="785" ht="15.75" customHeight="1">
      <c r="H785" s="14"/>
    </row>
    <row r="786" ht="15.75" customHeight="1">
      <c r="H786" s="14"/>
    </row>
    <row r="787" ht="15.75" customHeight="1">
      <c r="H787" s="14"/>
    </row>
    <row r="788" ht="15.75" customHeight="1">
      <c r="H788" s="14"/>
    </row>
    <row r="789" ht="15.75" customHeight="1">
      <c r="H789" s="14"/>
    </row>
    <row r="790" ht="15.75" customHeight="1">
      <c r="H790" s="14"/>
    </row>
    <row r="791" ht="15.75" customHeight="1">
      <c r="H791" s="14"/>
    </row>
    <row r="792" ht="15.75" customHeight="1">
      <c r="H792" s="14"/>
    </row>
    <row r="793" ht="15.75" customHeight="1">
      <c r="H793" s="14"/>
    </row>
    <row r="794" ht="15.75" customHeight="1">
      <c r="H794" s="14"/>
    </row>
    <row r="795" ht="15.75" customHeight="1">
      <c r="H795" s="14"/>
    </row>
    <row r="796" ht="15.75" customHeight="1">
      <c r="H796" s="14"/>
    </row>
    <row r="797" ht="15.75" customHeight="1">
      <c r="H797" s="14"/>
    </row>
    <row r="798" ht="15.75" customHeight="1">
      <c r="H798" s="14"/>
    </row>
    <row r="799" ht="15.75" customHeight="1">
      <c r="H799" s="14"/>
    </row>
    <row r="800" ht="15.75" customHeight="1">
      <c r="H800" s="14"/>
    </row>
    <row r="801" ht="15.75" customHeight="1">
      <c r="H801" s="14"/>
    </row>
    <row r="802" ht="15.75" customHeight="1">
      <c r="H802" s="14"/>
    </row>
    <row r="803" ht="15.75" customHeight="1">
      <c r="H803" s="14"/>
    </row>
    <row r="804" ht="15.75" customHeight="1">
      <c r="H804" s="14"/>
    </row>
    <row r="805" ht="15.75" customHeight="1">
      <c r="H805" s="14"/>
    </row>
    <row r="806" ht="15.75" customHeight="1">
      <c r="H806" s="14"/>
    </row>
    <row r="807" ht="15.75" customHeight="1">
      <c r="H807" s="14"/>
    </row>
    <row r="808" ht="15.75" customHeight="1">
      <c r="H808" s="14"/>
    </row>
    <row r="809" ht="15.75" customHeight="1">
      <c r="H809" s="14"/>
    </row>
    <row r="810" ht="15.75" customHeight="1">
      <c r="H810" s="14"/>
    </row>
    <row r="811" ht="15.75" customHeight="1">
      <c r="H811" s="14"/>
    </row>
    <row r="812" ht="15.75" customHeight="1">
      <c r="H812" s="14"/>
    </row>
    <row r="813" ht="15.75" customHeight="1">
      <c r="H813" s="14"/>
    </row>
    <row r="814" ht="15.75" customHeight="1">
      <c r="H814" s="14"/>
    </row>
    <row r="815" ht="15.75" customHeight="1">
      <c r="H815" s="14"/>
    </row>
    <row r="816" ht="15.75" customHeight="1">
      <c r="H816" s="14"/>
    </row>
    <row r="817" ht="15.75" customHeight="1">
      <c r="H817" s="14"/>
    </row>
    <row r="818" ht="15.75" customHeight="1">
      <c r="H818" s="14"/>
    </row>
    <row r="819" ht="15.75" customHeight="1">
      <c r="H819" s="14"/>
    </row>
    <row r="820" ht="15.75" customHeight="1">
      <c r="H820" s="14"/>
    </row>
    <row r="821" ht="15.75" customHeight="1">
      <c r="H821" s="14"/>
    </row>
    <row r="822" ht="15.75" customHeight="1">
      <c r="H822" s="14"/>
    </row>
    <row r="823" ht="15.75" customHeight="1">
      <c r="H823" s="14"/>
    </row>
    <row r="824" ht="15.75" customHeight="1">
      <c r="H824" s="14"/>
    </row>
    <row r="825" ht="15.75" customHeight="1">
      <c r="H825" s="14"/>
    </row>
    <row r="826" ht="15.75" customHeight="1">
      <c r="H826" s="14"/>
    </row>
    <row r="827" ht="15.75" customHeight="1">
      <c r="H827" s="14"/>
    </row>
    <row r="828" ht="15.75" customHeight="1">
      <c r="H828" s="14"/>
    </row>
    <row r="829" ht="15.75" customHeight="1">
      <c r="H829" s="14"/>
    </row>
    <row r="830" ht="15.75" customHeight="1">
      <c r="H830" s="14"/>
    </row>
    <row r="831" ht="15.75" customHeight="1">
      <c r="H831" s="14"/>
    </row>
    <row r="832" ht="15.75" customHeight="1">
      <c r="H832" s="14"/>
    </row>
    <row r="833" ht="15.75" customHeight="1">
      <c r="H833" s="14"/>
    </row>
    <row r="834" ht="15.75" customHeight="1">
      <c r="H834" s="14"/>
    </row>
    <row r="835" ht="15.75" customHeight="1">
      <c r="H835" s="14"/>
    </row>
    <row r="836" ht="15.75" customHeight="1">
      <c r="H836" s="14"/>
    </row>
    <row r="837" ht="15.75" customHeight="1">
      <c r="H837" s="14"/>
    </row>
    <row r="838" ht="15.75" customHeight="1">
      <c r="H838" s="14"/>
    </row>
    <row r="839" ht="15.75" customHeight="1">
      <c r="H839" s="14"/>
    </row>
    <row r="840" ht="15.75" customHeight="1">
      <c r="H840" s="14"/>
    </row>
    <row r="841" ht="15.75" customHeight="1">
      <c r="H841" s="14"/>
    </row>
    <row r="842" ht="15.75" customHeight="1">
      <c r="H842" s="14"/>
    </row>
    <row r="843" ht="15.75" customHeight="1">
      <c r="H843" s="14"/>
    </row>
    <row r="844" ht="15.75" customHeight="1">
      <c r="H844" s="14"/>
    </row>
    <row r="845" ht="15.75" customHeight="1">
      <c r="H845" s="14"/>
    </row>
    <row r="846" ht="15.75" customHeight="1">
      <c r="H846" s="14"/>
    </row>
    <row r="847" ht="15.75" customHeight="1">
      <c r="H847" s="14"/>
    </row>
    <row r="848" ht="15.75" customHeight="1">
      <c r="H848" s="14"/>
    </row>
    <row r="849" ht="15.75" customHeight="1">
      <c r="H849" s="14"/>
    </row>
    <row r="850" ht="15.75" customHeight="1">
      <c r="H850" s="14"/>
    </row>
    <row r="851" ht="15.75" customHeight="1">
      <c r="H851" s="14"/>
    </row>
    <row r="852" ht="15.75" customHeight="1">
      <c r="H852" s="14"/>
    </row>
    <row r="853" ht="15.75" customHeight="1">
      <c r="H853" s="14"/>
    </row>
    <row r="854" ht="15.75" customHeight="1">
      <c r="H854" s="14"/>
    </row>
    <row r="855" ht="15.75" customHeight="1">
      <c r="H855" s="14"/>
    </row>
    <row r="856" ht="15.75" customHeight="1">
      <c r="H856" s="14"/>
    </row>
    <row r="857" ht="15.75" customHeight="1">
      <c r="H857" s="14"/>
    </row>
    <row r="858" ht="15.75" customHeight="1">
      <c r="H858" s="14"/>
    </row>
    <row r="859" ht="15.75" customHeight="1">
      <c r="H859" s="14"/>
    </row>
    <row r="860" ht="15.75" customHeight="1">
      <c r="H860" s="14"/>
    </row>
    <row r="861" ht="15.75" customHeight="1">
      <c r="H861" s="14"/>
    </row>
    <row r="862" ht="15.75" customHeight="1">
      <c r="H862" s="14"/>
    </row>
    <row r="863" ht="15.75" customHeight="1">
      <c r="H863" s="14"/>
    </row>
    <row r="864" ht="15.75" customHeight="1">
      <c r="H864" s="14"/>
    </row>
    <row r="865" ht="15.75" customHeight="1">
      <c r="H865" s="14"/>
    </row>
    <row r="866" ht="15.75" customHeight="1">
      <c r="H866" s="14"/>
    </row>
    <row r="867" ht="15.75" customHeight="1">
      <c r="H867" s="14"/>
    </row>
    <row r="868" ht="15.75" customHeight="1">
      <c r="H868" s="14"/>
    </row>
    <row r="869" ht="15.75" customHeight="1">
      <c r="H869" s="14"/>
    </row>
    <row r="870" ht="15.75" customHeight="1">
      <c r="H870" s="14"/>
    </row>
    <row r="871" ht="15.75" customHeight="1">
      <c r="H871" s="14"/>
    </row>
    <row r="872" ht="15.75" customHeight="1">
      <c r="H872" s="14"/>
    </row>
    <row r="873" ht="15.75" customHeight="1">
      <c r="H873" s="14"/>
    </row>
    <row r="874" ht="15.75" customHeight="1">
      <c r="H874" s="14"/>
    </row>
    <row r="875" ht="15.75" customHeight="1">
      <c r="H875" s="14"/>
    </row>
    <row r="876" ht="15.75" customHeight="1">
      <c r="H876" s="14"/>
    </row>
    <row r="877" ht="15.75" customHeight="1">
      <c r="H877" s="14"/>
    </row>
    <row r="878" ht="15.75" customHeight="1">
      <c r="H878" s="14"/>
    </row>
    <row r="879" ht="15.75" customHeight="1">
      <c r="H879" s="14"/>
    </row>
    <row r="880" ht="15.75" customHeight="1">
      <c r="H880" s="14"/>
    </row>
    <row r="881" ht="15.75" customHeight="1">
      <c r="H881" s="14"/>
    </row>
    <row r="882" ht="15.75" customHeight="1">
      <c r="H882" s="14"/>
    </row>
    <row r="883" ht="15.75" customHeight="1">
      <c r="H883" s="14"/>
    </row>
    <row r="884" ht="15.75" customHeight="1">
      <c r="H884" s="14"/>
    </row>
    <row r="885" ht="15.75" customHeight="1">
      <c r="H885" s="14"/>
    </row>
    <row r="886" ht="15.75" customHeight="1">
      <c r="H886" s="14"/>
    </row>
    <row r="887" ht="15.75" customHeight="1">
      <c r="H887" s="14"/>
    </row>
    <row r="888" ht="15.75" customHeight="1">
      <c r="H888" s="14"/>
    </row>
    <row r="889" ht="15.75" customHeight="1">
      <c r="H889" s="14"/>
    </row>
    <row r="890" ht="15.75" customHeight="1">
      <c r="H890" s="14"/>
    </row>
    <row r="891" ht="15.75" customHeight="1">
      <c r="H891" s="14"/>
    </row>
    <row r="892" ht="15.75" customHeight="1">
      <c r="H892" s="14"/>
    </row>
    <row r="893" ht="15.75" customHeight="1">
      <c r="H893" s="14"/>
    </row>
    <row r="894" ht="15.75" customHeight="1">
      <c r="H894" s="14"/>
    </row>
    <row r="895" ht="15.75" customHeight="1">
      <c r="H895" s="14"/>
    </row>
    <row r="896" ht="15.75" customHeight="1">
      <c r="H896" s="14"/>
    </row>
    <row r="897" ht="15.75" customHeight="1">
      <c r="H897" s="14"/>
    </row>
    <row r="898" ht="15.75" customHeight="1">
      <c r="H898" s="14"/>
    </row>
    <row r="899" ht="15.75" customHeight="1">
      <c r="H899" s="14"/>
    </row>
    <row r="900" ht="15.75" customHeight="1">
      <c r="H900" s="14"/>
    </row>
    <row r="901" ht="15.75" customHeight="1">
      <c r="H901" s="14"/>
    </row>
    <row r="902" ht="15.75" customHeight="1">
      <c r="H902" s="14"/>
    </row>
    <row r="903" ht="15.75" customHeight="1">
      <c r="H903" s="14"/>
    </row>
    <row r="904" ht="15.75" customHeight="1">
      <c r="H904" s="14"/>
    </row>
    <row r="905" ht="15.75" customHeight="1">
      <c r="H905" s="14"/>
    </row>
    <row r="906" ht="15.75" customHeight="1">
      <c r="H906" s="14"/>
    </row>
    <row r="907" ht="15.75" customHeight="1">
      <c r="H907" s="14"/>
    </row>
    <row r="908" ht="15.75" customHeight="1">
      <c r="H908" s="14"/>
    </row>
    <row r="909" ht="15.75" customHeight="1">
      <c r="H909" s="14"/>
    </row>
    <row r="910" ht="15.75" customHeight="1">
      <c r="H910" s="14"/>
    </row>
    <row r="911" ht="15.75" customHeight="1">
      <c r="H911" s="14"/>
    </row>
    <row r="912" ht="15.75" customHeight="1">
      <c r="H912" s="14"/>
    </row>
    <row r="913" ht="15.75" customHeight="1">
      <c r="H913" s="14"/>
    </row>
    <row r="914" ht="15.75" customHeight="1">
      <c r="H914" s="14"/>
    </row>
    <row r="915" ht="15.75" customHeight="1">
      <c r="H915" s="14"/>
    </row>
    <row r="916" ht="15.75" customHeight="1">
      <c r="H916" s="14"/>
    </row>
    <row r="917" ht="15.75" customHeight="1">
      <c r="H917" s="14"/>
    </row>
    <row r="918" ht="15.75" customHeight="1">
      <c r="H918" s="14"/>
    </row>
    <row r="919" ht="15.75" customHeight="1">
      <c r="H919" s="14"/>
    </row>
    <row r="920" ht="15.75" customHeight="1">
      <c r="H920" s="14"/>
    </row>
    <row r="921" ht="15.75" customHeight="1">
      <c r="H921" s="14"/>
    </row>
    <row r="922" ht="15.75" customHeight="1">
      <c r="H922" s="14"/>
    </row>
    <row r="923" ht="15.75" customHeight="1">
      <c r="H923" s="14"/>
    </row>
    <row r="924" ht="15.75" customHeight="1">
      <c r="H924" s="14"/>
    </row>
    <row r="925" ht="15.75" customHeight="1">
      <c r="H925" s="14"/>
    </row>
    <row r="926" ht="15.75" customHeight="1">
      <c r="H926" s="14"/>
    </row>
    <row r="927" ht="15.75" customHeight="1">
      <c r="H927" s="14"/>
    </row>
    <row r="928" ht="15.75" customHeight="1">
      <c r="H928" s="14"/>
    </row>
    <row r="929" ht="15.75" customHeight="1">
      <c r="H929" s="14"/>
    </row>
    <row r="930" ht="15.75" customHeight="1">
      <c r="H930" s="14"/>
    </row>
    <row r="931" ht="15.75" customHeight="1">
      <c r="H931" s="14"/>
    </row>
    <row r="932" ht="15.75" customHeight="1">
      <c r="H932" s="14"/>
    </row>
    <row r="933" ht="15.75" customHeight="1">
      <c r="H933" s="14"/>
    </row>
    <row r="934" ht="15.75" customHeight="1">
      <c r="H934" s="14"/>
    </row>
    <row r="935" ht="15.75" customHeight="1">
      <c r="H935" s="14"/>
    </row>
    <row r="936" ht="15.75" customHeight="1">
      <c r="H936" s="14"/>
    </row>
    <row r="937" ht="15.75" customHeight="1">
      <c r="H937" s="14"/>
    </row>
    <row r="938" ht="15.75" customHeight="1">
      <c r="H938" s="14"/>
    </row>
    <row r="939" ht="15.75" customHeight="1">
      <c r="H939" s="14"/>
    </row>
    <row r="940" ht="15.75" customHeight="1">
      <c r="H940" s="14"/>
    </row>
    <row r="941" ht="15.75" customHeight="1">
      <c r="H941" s="14"/>
    </row>
    <row r="942" ht="15.75" customHeight="1">
      <c r="H942" s="14"/>
    </row>
    <row r="943" ht="15.75" customHeight="1">
      <c r="H943" s="14"/>
    </row>
    <row r="944" ht="15.75" customHeight="1">
      <c r="H944" s="14"/>
    </row>
    <row r="945" ht="15.75" customHeight="1">
      <c r="H945" s="14"/>
    </row>
    <row r="946" ht="15.75" customHeight="1">
      <c r="H946" s="14"/>
    </row>
    <row r="947" ht="15.75" customHeight="1">
      <c r="H947" s="14"/>
    </row>
    <row r="948" ht="15.75" customHeight="1">
      <c r="H948" s="14"/>
    </row>
    <row r="949" ht="15.75" customHeight="1">
      <c r="H949" s="14"/>
    </row>
    <row r="950" ht="15.75" customHeight="1">
      <c r="H950" s="14"/>
    </row>
    <row r="951" ht="15.75" customHeight="1">
      <c r="H951" s="14"/>
    </row>
    <row r="952" ht="15.75" customHeight="1">
      <c r="H952" s="14"/>
    </row>
    <row r="953" ht="15.75" customHeight="1">
      <c r="H953" s="14"/>
    </row>
    <row r="954" ht="15.75" customHeight="1">
      <c r="H954" s="14"/>
    </row>
    <row r="955" ht="15.75" customHeight="1">
      <c r="H955" s="14"/>
    </row>
    <row r="956" ht="15.75" customHeight="1">
      <c r="H956" s="14"/>
    </row>
    <row r="957" ht="15.75" customHeight="1">
      <c r="H957" s="14"/>
    </row>
    <row r="958" ht="15.75" customHeight="1">
      <c r="H958" s="14"/>
    </row>
    <row r="959" ht="15.75" customHeight="1">
      <c r="H959" s="14"/>
    </row>
    <row r="960" ht="15.75" customHeight="1">
      <c r="H960" s="14"/>
    </row>
    <row r="961" ht="15.75" customHeight="1">
      <c r="H961" s="14"/>
    </row>
    <row r="962" ht="15.75" customHeight="1">
      <c r="H962" s="14"/>
    </row>
    <row r="963" ht="15.75" customHeight="1">
      <c r="H963" s="14"/>
    </row>
    <row r="964" ht="15.75" customHeight="1">
      <c r="H964" s="14"/>
    </row>
    <row r="965" ht="15.75" customHeight="1">
      <c r="H965" s="14"/>
    </row>
    <row r="966" ht="15.75" customHeight="1">
      <c r="H966" s="14"/>
    </row>
    <row r="967" ht="15.75" customHeight="1">
      <c r="H967" s="14"/>
    </row>
    <row r="968" ht="15.75" customHeight="1">
      <c r="H968" s="14"/>
    </row>
    <row r="969" ht="15.75" customHeight="1">
      <c r="H969" s="14"/>
    </row>
    <row r="970" ht="15.75" customHeight="1">
      <c r="H970" s="14"/>
    </row>
    <row r="971" ht="15.75" customHeight="1">
      <c r="H971" s="14"/>
    </row>
    <row r="972" ht="15.75" customHeight="1">
      <c r="H972" s="14"/>
    </row>
    <row r="973" ht="15.75" customHeight="1">
      <c r="H973" s="14"/>
    </row>
    <row r="974" ht="15.75" customHeight="1">
      <c r="H974" s="14"/>
    </row>
    <row r="975" ht="15.75" customHeight="1">
      <c r="H975" s="14"/>
    </row>
    <row r="976" ht="15.75" customHeight="1">
      <c r="H976" s="14"/>
    </row>
    <row r="977" ht="15.75" customHeight="1">
      <c r="H977" s="14"/>
    </row>
    <row r="978" ht="15.75" customHeight="1">
      <c r="H978" s="14"/>
    </row>
    <row r="979" ht="15.75" customHeight="1">
      <c r="H979" s="14"/>
    </row>
    <row r="980" ht="15.75" customHeight="1">
      <c r="H980" s="14"/>
    </row>
    <row r="981" ht="15.75" customHeight="1">
      <c r="H981" s="14"/>
    </row>
    <row r="982" ht="15.75" customHeight="1">
      <c r="H982" s="14"/>
    </row>
    <row r="983" ht="15.75" customHeight="1">
      <c r="H983" s="14"/>
    </row>
    <row r="984" ht="15.75" customHeight="1">
      <c r="H984" s="14"/>
    </row>
    <row r="985" ht="15.75" customHeight="1">
      <c r="H985" s="14"/>
    </row>
    <row r="986" ht="15.75" customHeight="1">
      <c r="H986" s="14"/>
    </row>
    <row r="987" ht="15.75" customHeight="1">
      <c r="H987" s="14"/>
    </row>
    <row r="988" ht="15.75" customHeight="1">
      <c r="H988" s="14"/>
    </row>
    <row r="989" ht="15.75" customHeight="1">
      <c r="H989" s="14"/>
    </row>
    <row r="990" ht="15.75" customHeight="1">
      <c r="H990" s="14"/>
    </row>
    <row r="991" ht="15.75" customHeight="1">
      <c r="H991" s="14"/>
    </row>
    <row r="992" ht="15.75" customHeight="1">
      <c r="H992" s="14"/>
    </row>
    <row r="993" ht="15.75" customHeight="1">
      <c r="H993" s="14"/>
    </row>
    <row r="994" ht="15.75" customHeight="1">
      <c r="H994" s="14"/>
    </row>
    <row r="995" ht="15.75" customHeight="1">
      <c r="H995" s="14"/>
    </row>
    <row r="996" ht="15.75" customHeight="1">
      <c r="H996" s="14"/>
    </row>
    <row r="997" ht="15.75" customHeight="1">
      <c r="H997" s="14"/>
    </row>
    <row r="998" ht="15.75" customHeight="1">
      <c r="H998" s="14"/>
    </row>
    <row r="999" ht="15.75" customHeight="1">
      <c r="H999" s="14"/>
    </row>
    <row r="1000" ht="15.75" customHeight="1">
      <c r="H1000" s="14"/>
    </row>
  </sheetData>
  <autoFilter ref="$A$1:$C$44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6.25"/>
  </cols>
  <sheetData>
    <row r="1">
      <c r="A1" s="34" t="s">
        <v>1384</v>
      </c>
      <c r="B1" s="34" t="s">
        <v>1385</v>
      </c>
    </row>
    <row r="2">
      <c r="A2" s="35" t="s">
        <v>1386</v>
      </c>
      <c r="B2" s="35" t="s">
        <v>55</v>
      </c>
    </row>
    <row r="3">
      <c r="A3" s="23" t="s">
        <v>93</v>
      </c>
      <c r="B3" s="23" t="s">
        <v>55</v>
      </c>
    </row>
    <row r="4">
      <c r="A4" s="35" t="s">
        <v>1387</v>
      </c>
      <c r="B4" s="35" t="s">
        <v>55</v>
      </c>
    </row>
    <row r="5">
      <c r="A5" s="23" t="s">
        <v>1388</v>
      </c>
      <c r="B5" s="23" t="s">
        <v>55</v>
      </c>
    </row>
    <row r="6">
      <c r="A6" s="35" t="s">
        <v>55</v>
      </c>
      <c r="B6" s="35" t="s">
        <v>55</v>
      </c>
    </row>
    <row r="7">
      <c r="A7" s="15" t="s">
        <v>23</v>
      </c>
      <c r="B7" s="15" t="s">
        <v>24</v>
      </c>
      <c r="C7" s="15" t="s">
        <v>25</v>
      </c>
      <c r="D7" s="15" t="s">
        <v>26</v>
      </c>
      <c r="E7" s="15" t="s">
        <v>27</v>
      </c>
      <c r="F7" s="15" t="s">
        <v>6</v>
      </c>
      <c r="G7" s="15" t="s">
        <v>28</v>
      </c>
      <c r="H7" s="15" t="s">
        <v>29</v>
      </c>
      <c r="I7" s="15" t="s">
        <v>30</v>
      </c>
      <c r="J7" s="15" t="s">
        <v>31</v>
      </c>
      <c r="K7" s="15" t="s">
        <v>32</v>
      </c>
      <c r="L7" s="15" t="s">
        <v>33</v>
      </c>
      <c r="M7" s="15" t="s">
        <v>34</v>
      </c>
      <c r="N7" s="15" t="s">
        <v>35</v>
      </c>
    </row>
    <row r="8" ht="60.0" customHeight="1">
      <c r="A8" s="17" t="s">
        <v>225</v>
      </c>
      <c r="B8" s="17" t="s">
        <v>55</v>
      </c>
      <c r="C8" s="17" t="s">
        <v>946</v>
      </c>
      <c r="D8" s="17" t="s">
        <v>138</v>
      </c>
      <c r="E8" s="17" t="s">
        <v>139</v>
      </c>
      <c r="F8" s="36">
        <v>68.37</v>
      </c>
      <c r="G8" s="17" t="s">
        <v>947</v>
      </c>
      <c r="H8" s="17" t="s">
        <v>946</v>
      </c>
      <c r="I8" s="17" t="s">
        <v>948</v>
      </c>
      <c r="J8" s="17" t="s">
        <v>949</v>
      </c>
      <c r="K8" s="17" t="s">
        <v>950</v>
      </c>
      <c r="L8" s="17" t="s">
        <v>45</v>
      </c>
      <c r="M8" s="17" t="s">
        <v>951</v>
      </c>
      <c r="N8" s="17" t="s">
        <v>64</v>
      </c>
    </row>
    <row r="9" ht="60.0" customHeight="1">
      <c r="A9" s="20" t="s">
        <v>225</v>
      </c>
      <c r="B9" s="20" t="s">
        <v>55</v>
      </c>
      <c r="C9" s="20" t="s">
        <v>186</v>
      </c>
      <c r="D9" s="20" t="s">
        <v>149</v>
      </c>
      <c r="E9" s="20" t="s">
        <v>150</v>
      </c>
      <c r="F9" s="37">
        <v>46.27</v>
      </c>
      <c r="G9" s="20" t="s">
        <v>226</v>
      </c>
      <c r="H9" s="20" t="s">
        <v>186</v>
      </c>
      <c r="I9" s="20" t="s">
        <v>188</v>
      </c>
      <c r="J9" s="20" t="s">
        <v>189</v>
      </c>
      <c r="K9" s="20" t="s">
        <v>190</v>
      </c>
      <c r="L9" s="20" t="s">
        <v>45</v>
      </c>
      <c r="M9" s="20" t="s">
        <v>227</v>
      </c>
      <c r="N9" s="20" t="s">
        <v>64</v>
      </c>
    </row>
    <row r="10" ht="60.0" customHeight="1">
      <c r="A10" s="17" t="s">
        <v>225</v>
      </c>
      <c r="B10" s="17" t="s">
        <v>55</v>
      </c>
      <c r="C10" s="17" t="s">
        <v>1193</v>
      </c>
      <c r="D10" s="17" t="s">
        <v>353</v>
      </c>
      <c r="E10" s="17" t="s">
        <v>354</v>
      </c>
      <c r="F10" s="36">
        <v>175.0</v>
      </c>
      <c r="G10" s="17" t="s">
        <v>1196</v>
      </c>
      <c r="H10" s="17" t="s">
        <v>1193</v>
      </c>
      <c r="I10" s="17" t="s">
        <v>537</v>
      </c>
      <c r="J10" s="17" t="s">
        <v>538</v>
      </c>
      <c r="K10" s="17" t="s">
        <v>539</v>
      </c>
      <c r="L10" s="17" t="s">
        <v>45</v>
      </c>
      <c r="M10" s="17" t="s">
        <v>1197</v>
      </c>
      <c r="N10" s="17" t="s">
        <v>64</v>
      </c>
    </row>
    <row r="11" ht="60.0" customHeight="1">
      <c r="A11" s="20" t="s">
        <v>239</v>
      </c>
      <c r="B11" s="20" t="s">
        <v>55</v>
      </c>
      <c r="C11" s="20" t="s">
        <v>406</v>
      </c>
      <c r="D11" s="20" t="s">
        <v>57</v>
      </c>
      <c r="E11" s="20" t="s">
        <v>58</v>
      </c>
      <c r="F11" s="37">
        <v>203.91</v>
      </c>
      <c r="G11" s="20" t="s">
        <v>407</v>
      </c>
      <c r="H11" s="20" t="s">
        <v>406</v>
      </c>
      <c r="I11" s="20" t="s">
        <v>285</v>
      </c>
      <c r="J11" s="20" t="s">
        <v>71</v>
      </c>
      <c r="K11" s="20" t="s">
        <v>249</v>
      </c>
      <c r="L11" s="20" t="s">
        <v>45</v>
      </c>
      <c r="M11" s="20" t="s">
        <v>408</v>
      </c>
      <c r="N11" s="20" t="s">
        <v>287</v>
      </c>
    </row>
    <row r="12" ht="60.0" customHeight="1">
      <c r="A12" s="17" t="s">
        <v>239</v>
      </c>
      <c r="B12" s="17" t="s">
        <v>55</v>
      </c>
      <c r="C12" s="17" t="s">
        <v>240</v>
      </c>
      <c r="D12" s="17" t="s">
        <v>57</v>
      </c>
      <c r="E12" s="17" t="s">
        <v>58</v>
      </c>
      <c r="F12" s="36">
        <v>56.62</v>
      </c>
      <c r="G12" s="17" t="s">
        <v>241</v>
      </c>
      <c r="H12" s="17" t="s">
        <v>240</v>
      </c>
      <c r="I12" s="17" t="s">
        <v>242</v>
      </c>
      <c r="J12" s="17" t="s">
        <v>243</v>
      </c>
      <c r="K12" s="17" t="s">
        <v>244</v>
      </c>
      <c r="L12" s="17" t="s">
        <v>45</v>
      </c>
      <c r="M12" s="17" t="s">
        <v>245</v>
      </c>
      <c r="N12" s="17" t="s">
        <v>74</v>
      </c>
    </row>
    <row r="13" ht="60.0" customHeight="1">
      <c r="A13" s="20" t="s">
        <v>239</v>
      </c>
      <c r="B13" s="20" t="s">
        <v>55</v>
      </c>
      <c r="C13" s="20" t="s">
        <v>1193</v>
      </c>
      <c r="D13" s="20" t="s">
        <v>353</v>
      </c>
      <c r="E13" s="20" t="s">
        <v>354</v>
      </c>
      <c r="F13" s="37">
        <v>175.0</v>
      </c>
      <c r="G13" s="20" t="s">
        <v>1194</v>
      </c>
      <c r="H13" s="20" t="s">
        <v>1193</v>
      </c>
      <c r="I13" s="20" t="s">
        <v>537</v>
      </c>
      <c r="J13" s="20" t="s">
        <v>538</v>
      </c>
      <c r="K13" s="20" t="s">
        <v>539</v>
      </c>
      <c r="L13" s="20" t="s">
        <v>45</v>
      </c>
      <c r="M13" s="20" t="s">
        <v>1195</v>
      </c>
      <c r="N13" s="20" t="s">
        <v>64</v>
      </c>
    </row>
    <row r="14" ht="60.0" customHeight="1">
      <c r="A14" s="17" t="s">
        <v>239</v>
      </c>
      <c r="B14" s="17" t="s">
        <v>55</v>
      </c>
      <c r="C14" s="17" t="s">
        <v>323</v>
      </c>
      <c r="D14" s="17" t="s">
        <v>39</v>
      </c>
      <c r="E14" s="17" t="s">
        <v>40</v>
      </c>
      <c r="F14" s="36">
        <v>109.65</v>
      </c>
      <c r="G14" s="17" t="s">
        <v>324</v>
      </c>
      <c r="H14" s="17" t="s">
        <v>323</v>
      </c>
      <c r="I14" s="17" t="s">
        <v>325</v>
      </c>
      <c r="J14" s="17" t="s">
        <v>326</v>
      </c>
      <c r="K14" s="17" t="s">
        <v>327</v>
      </c>
      <c r="L14" s="17" t="s">
        <v>45</v>
      </c>
      <c r="M14" s="17" t="s">
        <v>328</v>
      </c>
      <c r="N14" s="17" t="s">
        <v>308</v>
      </c>
    </row>
    <row r="15" ht="60.0" customHeight="1">
      <c r="A15" s="20" t="s">
        <v>239</v>
      </c>
      <c r="B15" s="20" t="s">
        <v>55</v>
      </c>
      <c r="C15" s="20" t="s">
        <v>323</v>
      </c>
      <c r="D15" s="20" t="s">
        <v>39</v>
      </c>
      <c r="E15" s="20" t="s">
        <v>40</v>
      </c>
      <c r="F15" s="37">
        <v>109.65</v>
      </c>
      <c r="G15" s="20" t="s">
        <v>324</v>
      </c>
      <c r="H15" s="20" t="s">
        <v>323</v>
      </c>
      <c r="I15" s="20" t="s">
        <v>325</v>
      </c>
      <c r="J15" s="20" t="s">
        <v>326</v>
      </c>
      <c r="K15" s="20" t="s">
        <v>327</v>
      </c>
      <c r="L15" s="20" t="s">
        <v>45</v>
      </c>
      <c r="M15" s="20" t="s">
        <v>329</v>
      </c>
      <c r="N15" s="20" t="s">
        <v>308</v>
      </c>
    </row>
    <row r="16" ht="60.0" customHeight="1">
      <c r="A16" s="17" t="s">
        <v>239</v>
      </c>
      <c r="B16" s="17" t="s">
        <v>55</v>
      </c>
      <c r="C16" s="17" t="s">
        <v>323</v>
      </c>
      <c r="D16" s="17" t="s">
        <v>39</v>
      </c>
      <c r="E16" s="17" t="s">
        <v>40</v>
      </c>
      <c r="F16" s="36">
        <v>109.65</v>
      </c>
      <c r="G16" s="17" t="s">
        <v>324</v>
      </c>
      <c r="H16" s="17" t="s">
        <v>323</v>
      </c>
      <c r="I16" s="17" t="s">
        <v>325</v>
      </c>
      <c r="J16" s="17" t="s">
        <v>326</v>
      </c>
      <c r="K16" s="17" t="s">
        <v>327</v>
      </c>
      <c r="L16" s="17" t="s">
        <v>45</v>
      </c>
      <c r="M16" s="17" t="s">
        <v>330</v>
      </c>
      <c r="N16" s="17" t="s">
        <v>308</v>
      </c>
    </row>
    <row r="17" ht="60.0" customHeight="1">
      <c r="A17" s="20" t="s">
        <v>239</v>
      </c>
      <c r="B17" s="20" t="s">
        <v>55</v>
      </c>
      <c r="C17" s="20" t="s">
        <v>323</v>
      </c>
      <c r="D17" s="20" t="s">
        <v>39</v>
      </c>
      <c r="E17" s="20" t="s">
        <v>40</v>
      </c>
      <c r="F17" s="37">
        <v>109.65</v>
      </c>
      <c r="G17" s="20" t="s">
        <v>324</v>
      </c>
      <c r="H17" s="20" t="s">
        <v>323</v>
      </c>
      <c r="I17" s="20" t="s">
        <v>325</v>
      </c>
      <c r="J17" s="20" t="s">
        <v>326</v>
      </c>
      <c r="K17" s="20" t="s">
        <v>327</v>
      </c>
      <c r="L17" s="20" t="s">
        <v>45</v>
      </c>
      <c r="M17" s="20" t="s">
        <v>331</v>
      </c>
      <c r="N17" s="20" t="s">
        <v>308</v>
      </c>
    </row>
    <row r="18" ht="60.0" customHeight="1">
      <c r="A18" s="17" t="s">
        <v>239</v>
      </c>
      <c r="B18" s="17" t="s">
        <v>55</v>
      </c>
      <c r="C18" s="17" t="s">
        <v>323</v>
      </c>
      <c r="D18" s="17" t="s">
        <v>39</v>
      </c>
      <c r="E18" s="17" t="s">
        <v>40</v>
      </c>
      <c r="F18" s="36">
        <v>109.65</v>
      </c>
      <c r="G18" s="17" t="s">
        <v>324</v>
      </c>
      <c r="H18" s="17" t="s">
        <v>323</v>
      </c>
      <c r="I18" s="17" t="s">
        <v>325</v>
      </c>
      <c r="J18" s="17" t="s">
        <v>326</v>
      </c>
      <c r="K18" s="17" t="s">
        <v>327</v>
      </c>
      <c r="L18" s="17" t="s">
        <v>45</v>
      </c>
      <c r="M18" s="17" t="s">
        <v>332</v>
      </c>
      <c r="N18" s="17" t="s">
        <v>308</v>
      </c>
    </row>
    <row r="19" ht="60.0" customHeight="1">
      <c r="A19" s="20" t="s">
        <v>239</v>
      </c>
      <c r="B19" s="20" t="s">
        <v>55</v>
      </c>
      <c r="C19" s="20" t="s">
        <v>323</v>
      </c>
      <c r="D19" s="20" t="s">
        <v>39</v>
      </c>
      <c r="E19" s="20" t="s">
        <v>40</v>
      </c>
      <c r="F19" s="37">
        <v>109.65</v>
      </c>
      <c r="G19" s="20" t="s">
        <v>324</v>
      </c>
      <c r="H19" s="20" t="s">
        <v>323</v>
      </c>
      <c r="I19" s="20" t="s">
        <v>325</v>
      </c>
      <c r="J19" s="20" t="s">
        <v>326</v>
      </c>
      <c r="K19" s="20" t="s">
        <v>327</v>
      </c>
      <c r="L19" s="20" t="s">
        <v>45</v>
      </c>
      <c r="M19" s="20" t="s">
        <v>333</v>
      </c>
      <c r="N19" s="20" t="s">
        <v>308</v>
      </c>
    </row>
    <row r="20" ht="60.0" customHeight="1">
      <c r="A20" s="17" t="s">
        <v>75</v>
      </c>
      <c r="B20" s="17" t="s">
        <v>55</v>
      </c>
      <c r="C20" s="17" t="s">
        <v>169</v>
      </c>
      <c r="D20" s="17" t="s">
        <v>149</v>
      </c>
      <c r="E20" s="17" t="s">
        <v>150</v>
      </c>
      <c r="F20" s="36">
        <v>24.91</v>
      </c>
      <c r="G20" s="17" t="s">
        <v>170</v>
      </c>
      <c r="H20" s="17" t="s">
        <v>169</v>
      </c>
      <c r="I20" s="17" t="s">
        <v>171</v>
      </c>
      <c r="J20" s="17" t="s">
        <v>119</v>
      </c>
      <c r="K20" s="17" t="s">
        <v>172</v>
      </c>
      <c r="L20" s="17" t="s">
        <v>45</v>
      </c>
      <c r="M20" s="17" t="s">
        <v>173</v>
      </c>
      <c r="N20" s="17" t="s">
        <v>174</v>
      </c>
    </row>
    <row r="21" ht="60.0" customHeight="1">
      <c r="A21" s="20" t="s">
        <v>75</v>
      </c>
      <c r="B21" s="20" t="s">
        <v>55</v>
      </c>
      <c r="C21" s="20" t="s">
        <v>440</v>
      </c>
      <c r="D21" s="20" t="s">
        <v>67</v>
      </c>
      <c r="E21" s="20" t="s">
        <v>68</v>
      </c>
      <c r="F21" s="37">
        <v>270.0</v>
      </c>
      <c r="G21" s="20" t="s">
        <v>441</v>
      </c>
      <c r="H21" s="20" t="s">
        <v>440</v>
      </c>
      <c r="I21" s="20" t="s">
        <v>285</v>
      </c>
      <c r="J21" s="20" t="s">
        <v>71</v>
      </c>
      <c r="K21" s="20" t="s">
        <v>249</v>
      </c>
      <c r="L21" s="20" t="s">
        <v>45</v>
      </c>
      <c r="M21" s="20" t="s">
        <v>442</v>
      </c>
      <c r="N21" s="20" t="s">
        <v>287</v>
      </c>
    </row>
    <row r="22" ht="60.0" customHeight="1">
      <c r="A22" s="17" t="s">
        <v>75</v>
      </c>
      <c r="B22" s="17" t="s">
        <v>55</v>
      </c>
      <c r="C22" s="17" t="s">
        <v>406</v>
      </c>
      <c r="D22" s="17" t="s">
        <v>57</v>
      </c>
      <c r="E22" s="17" t="s">
        <v>58</v>
      </c>
      <c r="F22" s="36">
        <v>329.79</v>
      </c>
      <c r="G22" s="17" t="s">
        <v>449</v>
      </c>
      <c r="H22" s="17" t="s">
        <v>406</v>
      </c>
      <c r="I22" s="17" t="s">
        <v>285</v>
      </c>
      <c r="J22" s="17" t="s">
        <v>71</v>
      </c>
      <c r="K22" s="17" t="s">
        <v>249</v>
      </c>
      <c r="L22" s="17" t="s">
        <v>45</v>
      </c>
      <c r="M22" s="17" t="s">
        <v>450</v>
      </c>
      <c r="N22" s="17" t="s">
        <v>287</v>
      </c>
    </row>
    <row r="23" ht="60.0" customHeight="1">
      <c r="A23" s="20" t="s">
        <v>75</v>
      </c>
      <c r="B23" s="20" t="s">
        <v>55</v>
      </c>
      <c r="C23" s="20" t="s">
        <v>457</v>
      </c>
      <c r="D23" s="20" t="s">
        <v>149</v>
      </c>
      <c r="E23" s="20" t="s">
        <v>150</v>
      </c>
      <c r="F23" s="37">
        <v>362.15</v>
      </c>
      <c r="G23" s="20" t="s">
        <v>458</v>
      </c>
      <c r="H23" s="20" t="s">
        <v>457</v>
      </c>
      <c r="I23" s="20" t="s">
        <v>459</v>
      </c>
      <c r="J23" s="20" t="s">
        <v>119</v>
      </c>
      <c r="K23" s="20" t="s">
        <v>231</v>
      </c>
      <c r="L23" s="20" t="s">
        <v>45</v>
      </c>
      <c r="M23" s="20" t="s">
        <v>460</v>
      </c>
      <c r="N23" s="20" t="s">
        <v>182</v>
      </c>
    </row>
    <row r="24" ht="60.0" customHeight="1">
      <c r="A24" s="17" t="s">
        <v>75</v>
      </c>
      <c r="B24" s="17" t="s">
        <v>55</v>
      </c>
      <c r="C24" s="17" t="s">
        <v>430</v>
      </c>
      <c r="D24" s="17" t="s">
        <v>57</v>
      </c>
      <c r="E24" s="17" t="s">
        <v>58</v>
      </c>
      <c r="F24" s="36">
        <v>234.23</v>
      </c>
      <c r="G24" s="17" t="s">
        <v>431</v>
      </c>
      <c r="H24" s="17" t="s">
        <v>430</v>
      </c>
      <c r="I24" s="17" t="s">
        <v>432</v>
      </c>
      <c r="J24" s="17" t="s">
        <v>433</v>
      </c>
      <c r="K24" s="17" t="s">
        <v>434</v>
      </c>
      <c r="L24" s="17" t="s">
        <v>45</v>
      </c>
      <c r="M24" s="17" t="s">
        <v>435</v>
      </c>
      <c r="N24" s="17" t="s">
        <v>74</v>
      </c>
    </row>
    <row r="25" ht="60.0" customHeight="1">
      <c r="A25" s="20" t="s">
        <v>75</v>
      </c>
      <c r="B25" s="20" t="s">
        <v>55</v>
      </c>
      <c r="C25" s="20" t="s">
        <v>186</v>
      </c>
      <c r="D25" s="20" t="s">
        <v>57</v>
      </c>
      <c r="E25" s="20" t="s">
        <v>58</v>
      </c>
      <c r="F25" s="37">
        <v>29.62</v>
      </c>
      <c r="G25" s="20" t="s">
        <v>187</v>
      </c>
      <c r="H25" s="20" t="s">
        <v>186</v>
      </c>
      <c r="I25" s="20" t="s">
        <v>188</v>
      </c>
      <c r="J25" s="20" t="s">
        <v>189</v>
      </c>
      <c r="K25" s="20" t="s">
        <v>190</v>
      </c>
      <c r="L25" s="20" t="s">
        <v>45</v>
      </c>
      <c r="M25" s="20" t="s">
        <v>191</v>
      </c>
      <c r="N25" s="20" t="s">
        <v>64</v>
      </c>
    </row>
    <row r="26" ht="60.0" customHeight="1">
      <c r="A26" s="17" t="s">
        <v>75</v>
      </c>
      <c r="B26" s="17" t="s">
        <v>55</v>
      </c>
      <c r="C26" s="17" t="s">
        <v>1389</v>
      </c>
      <c r="D26" s="17" t="s">
        <v>93</v>
      </c>
      <c r="E26" s="17" t="s">
        <v>94</v>
      </c>
      <c r="F26" s="36">
        <v>-35257.24</v>
      </c>
      <c r="G26" s="17" t="s">
        <v>1390</v>
      </c>
      <c r="H26" s="17" t="s">
        <v>1389</v>
      </c>
      <c r="I26" s="17" t="s">
        <v>55</v>
      </c>
      <c r="J26" s="17" t="s">
        <v>55</v>
      </c>
      <c r="K26" s="17" t="s">
        <v>55</v>
      </c>
      <c r="L26" s="17" t="s">
        <v>55</v>
      </c>
      <c r="M26" s="17" t="s">
        <v>1391</v>
      </c>
      <c r="N26" s="17" t="s">
        <v>55</v>
      </c>
    </row>
    <row r="27" ht="60.0" customHeight="1">
      <c r="A27" s="20" t="s">
        <v>75</v>
      </c>
      <c r="B27" s="20" t="s">
        <v>55</v>
      </c>
      <c r="C27" s="20" t="s">
        <v>1389</v>
      </c>
      <c r="D27" s="20" t="s">
        <v>93</v>
      </c>
      <c r="E27" s="20" t="s">
        <v>94</v>
      </c>
      <c r="F27" s="37">
        <v>-20000.0</v>
      </c>
      <c r="G27" s="20" t="s">
        <v>1390</v>
      </c>
      <c r="H27" s="20" t="s">
        <v>1389</v>
      </c>
      <c r="I27" s="20" t="s">
        <v>55</v>
      </c>
      <c r="J27" s="20" t="s">
        <v>55</v>
      </c>
      <c r="K27" s="20" t="s">
        <v>55</v>
      </c>
      <c r="L27" s="20" t="s">
        <v>55</v>
      </c>
      <c r="M27" s="20" t="s">
        <v>1392</v>
      </c>
      <c r="N27" s="20" t="s">
        <v>55</v>
      </c>
    </row>
    <row r="28" ht="60.0" customHeight="1">
      <c r="A28" s="17" t="s">
        <v>75</v>
      </c>
      <c r="B28" s="17" t="s">
        <v>55</v>
      </c>
      <c r="C28" s="17" t="s">
        <v>317</v>
      </c>
      <c r="D28" s="17" t="s">
        <v>57</v>
      </c>
      <c r="E28" s="17" t="s">
        <v>58</v>
      </c>
      <c r="F28" s="36">
        <v>108.63</v>
      </c>
      <c r="G28" s="17" t="s">
        <v>318</v>
      </c>
      <c r="H28" s="17" t="s">
        <v>317</v>
      </c>
      <c r="I28" s="17" t="s">
        <v>319</v>
      </c>
      <c r="J28" s="17" t="s">
        <v>320</v>
      </c>
      <c r="K28" s="17" t="s">
        <v>321</v>
      </c>
      <c r="L28" s="17" t="s">
        <v>45</v>
      </c>
      <c r="M28" s="17" t="s">
        <v>322</v>
      </c>
      <c r="N28" s="17" t="s">
        <v>182</v>
      </c>
    </row>
    <row r="29" ht="60.0" customHeight="1">
      <c r="A29" s="20" t="s">
        <v>75</v>
      </c>
      <c r="B29" s="20" t="s">
        <v>55</v>
      </c>
      <c r="C29" s="20" t="s">
        <v>228</v>
      </c>
      <c r="D29" s="20" t="s">
        <v>57</v>
      </c>
      <c r="E29" s="20" t="s">
        <v>58</v>
      </c>
      <c r="F29" s="37">
        <v>47.5</v>
      </c>
      <c r="G29" s="20" t="s">
        <v>229</v>
      </c>
      <c r="H29" s="20" t="s">
        <v>228</v>
      </c>
      <c r="I29" s="20" t="s">
        <v>230</v>
      </c>
      <c r="J29" s="20" t="s">
        <v>119</v>
      </c>
      <c r="K29" s="20" t="s">
        <v>231</v>
      </c>
      <c r="L29" s="20" t="s">
        <v>45</v>
      </c>
      <c r="M29" s="20" t="s">
        <v>232</v>
      </c>
      <c r="N29" s="20" t="s">
        <v>64</v>
      </c>
    </row>
    <row r="30" ht="60.0" customHeight="1">
      <c r="A30" s="17" t="s">
        <v>75</v>
      </c>
      <c r="B30" s="17" t="s">
        <v>55</v>
      </c>
      <c r="C30" s="17" t="s">
        <v>228</v>
      </c>
      <c r="D30" s="17" t="s">
        <v>149</v>
      </c>
      <c r="E30" s="17" t="s">
        <v>150</v>
      </c>
      <c r="F30" s="36">
        <v>79.2</v>
      </c>
      <c r="G30" s="17" t="s">
        <v>267</v>
      </c>
      <c r="H30" s="17" t="s">
        <v>228</v>
      </c>
      <c r="I30" s="17" t="s">
        <v>230</v>
      </c>
      <c r="J30" s="17" t="s">
        <v>119</v>
      </c>
      <c r="K30" s="17" t="s">
        <v>231</v>
      </c>
      <c r="L30" s="17" t="s">
        <v>45</v>
      </c>
      <c r="M30" s="17" t="s">
        <v>268</v>
      </c>
      <c r="N30" s="17" t="s">
        <v>64</v>
      </c>
    </row>
    <row r="31" ht="60.0" customHeight="1">
      <c r="A31" s="20" t="s">
        <v>75</v>
      </c>
      <c r="B31" s="20" t="s">
        <v>55</v>
      </c>
      <c r="C31" s="20" t="s">
        <v>76</v>
      </c>
      <c r="D31" s="20" t="s">
        <v>67</v>
      </c>
      <c r="E31" s="20" t="s">
        <v>68</v>
      </c>
      <c r="F31" s="37">
        <v>6.99</v>
      </c>
      <c r="G31" s="20" t="s">
        <v>77</v>
      </c>
      <c r="H31" s="20" t="s">
        <v>76</v>
      </c>
      <c r="I31" s="20" t="s">
        <v>78</v>
      </c>
      <c r="J31" s="20" t="s">
        <v>79</v>
      </c>
      <c r="K31" s="20" t="s">
        <v>80</v>
      </c>
      <c r="L31" s="20" t="s">
        <v>45</v>
      </c>
      <c r="M31" s="20" t="s">
        <v>81</v>
      </c>
      <c r="N31" s="20" t="s">
        <v>82</v>
      </c>
    </row>
    <row r="32" ht="60.0" customHeight="1">
      <c r="A32" s="17" t="s">
        <v>147</v>
      </c>
      <c r="B32" s="17" t="s">
        <v>55</v>
      </c>
      <c r="C32" s="17" t="s">
        <v>630</v>
      </c>
      <c r="D32" s="17" t="s">
        <v>39</v>
      </c>
      <c r="E32" s="17" t="s">
        <v>40</v>
      </c>
      <c r="F32" s="36">
        <v>15.78</v>
      </c>
      <c r="G32" s="17" t="s">
        <v>631</v>
      </c>
      <c r="H32" s="17" t="s">
        <v>630</v>
      </c>
      <c r="I32" s="17" t="s">
        <v>632</v>
      </c>
      <c r="J32" s="17" t="s">
        <v>633</v>
      </c>
      <c r="K32" s="17" t="s">
        <v>634</v>
      </c>
      <c r="L32" s="17" t="s">
        <v>45</v>
      </c>
      <c r="M32" s="17" t="s">
        <v>635</v>
      </c>
      <c r="N32" s="17" t="s">
        <v>174</v>
      </c>
    </row>
    <row r="33" ht="60.0" customHeight="1">
      <c r="A33" s="20" t="s">
        <v>147</v>
      </c>
      <c r="B33" s="20" t="s">
        <v>55</v>
      </c>
      <c r="C33" s="20" t="s">
        <v>1114</v>
      </c>
      <c r="D33" s="20" t="s">
        <v>39</v>
      </c>
      <c r="E33" s="20" t="s">
        <v>40</v>
      </c>
      <c r="F33" s="37">
        <v>142.31</v>
      </c>
      <c r="G33" s="20" t="s">
        <v>1115</v>
      </c>
      <c r="H33" s="20" t="s">
        <v>1114</v>
      </c>
      <c r="I33" s="20" t="s">
        <v>1116</v>
      </c>
      <c r="J33" s="20" t="s">
        <v>371</v>
      </c>
      <c r="K33" s="20" t="s">
        <v>1117</v>
      </c>
      <c r="L33" s="20" t="s">
        <v>45</v>
      </c>
      <c r="M33" s="20" t="s">
        <v>1118</v>
      </c>
      <c r="N33" s="20" t="s">
        <v>1119</v>
      </c>
    </row>
    <row r="34" ht="60.0" customHeight="1">
      <c r="A34" s="17" t="s">
        <v>147</v>
      </c>
      <c r="B34" s="17" t="s">
        <v>55</v>
      </c>
      <c r="C34" s="17" t="s">
        <v>700</v>
      </c>
      <c r="D34" s="17" t="s">
        <v>57</v>
      </c>
      <c r="E34" s="17" t="s">
        <v>58</v>
      </c>
      <c r="F34" s="36">
        <v>33.53</v>
      </c>
      <c r="G34" s="17" t="s">
        <v>783</v>
      </c>
      <c r="H34" s="17" t="s">
        <v>700</v>
      </c>
      <c r="I34" s="17" t="s">
        <v>702</v>
      </c>
      <c r="J34" s="17" t="s">
        <v>71</v>
      </c>
      <c r="K34" s="17" t="s">
        <v>112</v>
      </c>
      <c r="L34" s="17" t="s">
        <v>45</v>
      </c>
      <c r="M34" s="17" t="s">
        <v>784</v>
      </c>
      <c r="N34" s="17" t="s">
        <v>114</v>
      </c>
    </row>
    <row r="35" ht="60.0" customHeight="1">
      <c r="A35" s="20" t="s">
        <v>147</v>
      </c>
      <c r="B35" s="20" t="s">
        <v>55</v>
      </c>
      <c r="C35" s="20" t="s">
        <v>236</v>
      </c>
      <c r="D35" s="20" t="s">
        <v>57</v>
      </c>
      <c r="E35" s="20" t="s">
        <v>58</v>
      </c>
      <c r="F35" s="37">
        <v>55.67</v>
      </c>
      <c r="G35" s="20" t="s">
        <v>237</v>
      </c>
      <c r="H35" s="20" t="s">
        <v>236</v>
      </c>
      <c r="I35" s="20" t="s">
        <v>152</v>
      </c>
      <c r="J35" s="20" t="s">
        <v>153</v>
      </c>
      <c r="K35" s="20" t="s">
        <v>154</v>
      </c>
      <c r="L35" s="20" t="s">
        <v>45</v>
      </c>
      <c r="M35" s="20" t="s">
        <v>238</v>
      </c>
      <c r="N35" s="20" t="s">
        <v>64</v>
      </c>
    </row>
    <row r="36" ht="60.0" customHeight="1">
      <c r="A36" s="17" t="s">
        <v>147</v>
      </c>
      <c r="B36" s="17" t="s">
        <v>55</v>
      </c>
      <c r="C36" s="17" t="s">
        <v>236</v>
      </c>
      <c r="D36" s="17" t="s">
        <v>57</v>
      </c>
      <c r="E36" s="17" t="s">
        <v>58</v>
      </c>
      <c r="F36" s="36">
        <v>149.0</v>
      </c>
      <c r="G36" s="17" t="s">
        <v>365</v>
      </c>
      <c r="H36" s="17" t="s">
        <v>236</v>
      </c>
      <c r="I36" s="17" t="s">
        <v>152</v>
      </c>
      <c r="J36" s="17" t="s">
        <v>153</v>
      </c>
      <c r="K36" s="17" t="s">
        <v>154</v>
      </c>
      <c r="L36" s="17" t="s">
        <v>45</v>
      </c>
      <c r="M36" s="17" t="s">
        <v>366</v>
      </c>
      <c r="N36" s="17" t="s">
        <v>64</v>
      </c>
    </row>
    <row r="37" ht="60.0" customHeight="1">
      <c r="A37" s="20" t="s">
        <v>147</v>
      </c>
      <c r="B37" s="20" t="s">
        <v>55</v>
      </c>
      <c r="C37" s="20" t="s">
        <v>38</v>
      </c>
      <c r="D37" s="20" t="s">
        <v>39</v>
      </c>
      <c r="E37" s="20" t="s">
        <v>40</v>
      </c>
      <c r="F37" s="37">
        <v>-1.0</v>
      </c>
      <c r="G37" s="20" t="s">
        <v>1393</v>
      </c>
      <c r="H37" s="20" t="s">
        <v>38</v>
      </c>
      <c r="I37" s="20" t="s">
        <v>42</v>
      </c>
      <c r="J37" s="20" t="s">
        <v>43</v>
      </c>
      <c r="K37" s="20" t="s">
        <v>44</v>
      </c>
      <c r="L37" s="20" t="s">
        <v>45</v>
      </c>
      <c r="M37" s="20" t="s">
        <v>1394</v>
      </c>
      <c r="N37" s="20" t="s">
        <v>47</v>
      </c>
    </row>
    <row r="38" ht="60.0" customHeight="1">
      <c r="A38" s="17" t="s">
        <v>147</v>
      </c>
      <c r="B38" s="17" t="s">
        <v>55</v>
      </c>
      <c r="C38" s="17" t="s">
        <v>38</v>
      </c>
      <c r="D38" s="17" t="s">
        <v>39</v>
      </c>
      <c r="E38" s="17" t="s">
        <v>40</v>
      </c>
      <c r="F38" s="36">
        <v>851.14</v>
      </c>
      <c r="G38" s="17" t="s">
        <v>483</v>
      </c>
      <c r="H38" s="17" t="s">
        <v>38</v>
      </c>
      <c r="I38" s="17" t="s">
        <v>42</v>
      </c>
      <c r="J38" s="17" t="s">
        <v>43</v>
      </c>
      <c r="K38" s="17" t="s">
        <v>44</v>
      </c>
      <c r="L38" s="17" t="s">
        <v>45</v>
      </c>
      <c r="M38" s="17" t="s">
        <v>484</v>
      </c>
      <c r="N38" s="17" t="s">
        <v>47</v>
      </c>
    </row>
    <row r="39" ht="60.0" customHeight="1">
      <c r="A39" s="20" t="s">
        <v>147</v>
      </c>
      <c r="B39" s="20" t="s">
        <v>55</v>
      </c>
      <c r="C39" s="20" t="s">
        <v>38</v>
      </c>
      <c r="D39" s="20" t="s">
        <v>39</v>
      </c>
      <c r="E39" s="20" t="s">
        <v>40</v>
      </c>
      <c r="F39" s="37">
        <v>851.14</v>
      </c>
      <c r="G39" s="20" t="s">
        <v>485</v>
      </c>
      <c r="H39" s="20" t="s">
        <v>38</v>
      </c>
      <c r="I39" s="20" t="s">
        <v>42</v>
      </c>
      <c r="J39" s="20" t="s">
        <v>43</v>
      </c>
      <c r="K39" s="20" t="s">
        <v>44</v>
      </c>
      <c r="L39" s="20" t="s">
        <v>45</v>
      </c>
      <c r="M39" s="20" t="s">
        <v>486</v>
      </c>
      <c r="N39" s="20" t="s">
        <v>47</v>
      </c>
    </row>
    <row r="40" ht="60.0" customHeight="1">
      <c r="A40" s="17" t="s">
        <v>147</v>
      </c>
      <c r="B40" s="17" t="s">
        <v>55</v>
      </c>
      <c r="C40" s="17" t="s">
        <v>476</v>
      </c>
      <c r="D40" s="17" t="s">
        <v>127</v>
      </c>
      <c r="E40" s="17" t="s">
        <v>128</v>
      </c>
      <c r="F40" s="36">
        <v>544.08</v>
      </c>
      <c r="G40" s="17" t="s">
        <v>481</v>
      </c>
      <c r="H40" s="17" t="s">
        <v>476</v>
      </c>
      <c r="I40" s="17" t="s">
        <v>478</v>
      </c>
      <c r="J40" s="17" t="s">
        <v>142</v>
      </c>
      <c r="K40" s="17" t="s">
        <v>479</v>
      </c>
      <c r="L40" s="17" t="s">
        <v>45</v>
      </c>
      <c r="M40" s="17" t="s">
        <v>482</v>
      </c>
      <c r="N40" s="17" t="s">
        <v>308</v>
      </c>
    </row>
    <row r="41" ht="60.0" customHeight="1">
      <c r="A41" s="20" t="s">
        <v>147</v>
      </c>
      <c r="B41" s="20" t="s">
        <v>55</v>
      </c>
      <c r="C41" s="20" t="s">
        <v>203</v>
      </c>
      <c r="D41" s="20" t="s">
        <v>93</v>
      </c>
      <c r="E41" s="20" t="s">
        <v>94</v>
      </c>
      <c r="F41" s="37">
        <v>39.0</v>
      </c>
      <c r="G41" s="20" t="s">
        <v>204</v>
      </c>
      <c r="H41" s="20" t="s">
        <v>203</v>
      </c>
      <c r="I41" s="20" t="s">
        <v>55</v>
      </c>
      <c r="J41" s="20" t="s">
        <v>55</v>
      </c>
      <c r="K41" s="20" t="s">
        <v>55</v>
      </c>
      <c r="L41" s="20" t="s">
        <v>55</v>
      </c>
      <c r="M41" s="20" t="s">
        <v>205</v>
      </c>
      <c r="N41" s="20" t="s">
        <v>206</v>
      </c>
    </row>
    <row r="42" ht="60.0" customHeight="1">
      <c r="A42" s="17" t="s">
        <v>147</v>
      </c>
      <c r="B42" s="17" t="s">
        <v>55</v>
      </c>
      <c r="C42" s="17" t="s">
        <v>557</v>
      </c>
      <c r="D42" s="17" t="s">
        <v>353</v>
      </c>
      <c r="E42" s="17" t="s">
        <v>354</v>
      </c>
      <c r="F42" s="36">
        <v>100.0</v>
      </c>
      <c r="G42" s="17" t="s">
        <v>1061</v>
      </c>
      <c r="H42" s="17" t="s">
        <v>557</v>
      </c>
      <c r="I42" s="17" t="s">
        <v>188</v>
      </c>
      <c r="J42" s="17" t="s">
        <v>189</v>
      </c>
      <c r="K42" s="17" t="s">
        <v>190</v>
      </c>
      <c r="L42" s="17" t="s">
        <v>45</v>
      </c>
      <c r="M42" s="17" t="s">
        <v>1062</v>
      </c>
      <c r="N42" s="17" t="s">
        <v>64</v>
      </c>
    </row>
    <row r="43" ht="60.0" customHeight="1">
      <c r="A43" s="20" t="s">
        <v>147</v>
      </c>
      <c r="B43" s="20" t="s">
        <v>55</v>
      </c>
      <c r="C43" s="20" t="s">
        <v>557</v>
      </c>
      <c r="D43" s="20" t="s">
        <v>353</v>
      </c>
      <c r="E43" s="20" t="s">
        <v>354</v>
      </c>
      <c r="F43" s="37">
        <v>100.0</v>
      </c>
      <c r="G43" s="20" t="s">
        <v>1063</v>
      </c>
      <c r="H43" s="20" t="s">
        <v>557</v>
      </c>
      <c r="I43" s="20" t="s">
        <v>188</v>
      </c>
      <c r="J43" s="20" t="s">
        <v>189</v>
      </c>
      <c r="K43" s="20" t="s">
        <v>190</v>
      </c>
      <c r="L43" s="20" t="s">
        <v>45</v>
      </c>
      <c r="M43" s="20" t="s">
        <v>1064</v>
      </c>
      <c r="N43" s="20" t="s">
        <v>64</v>
      </c>
    </row>
    <row r="44" ht="60.0" customHeight="1">
      <c r="A44" s="17" t="s">
        <v>147</v>
      </c>
      <c r="B44" s="17" t="s">
        <v>55</v>
      </c>
      <c r="C44" s="17" t="s">
        <v>557</v>
      </c>
      <c r="D44" s="17" t="s">
        <v>353</v>
      </c>
      <c r="E44" s="17" t="s">
        <v>354</v>
      </c>
      <c r="F44" s="36">
        <v>100.0</v>
      </c>
      <c r="G44" s="17" t="s">
        <v>1065</v>
      </c>
      <c r="H44" s="17" t="s">
        <v>557</v>
      </c>
      <c r="I44" s="17" t="s">
        <v>188</v>
      </c>
      <c r="J44" s="17" t="s">
        <v>189</v>
      </c>
      <c r="K44" s="17" t="s">
        <v>190</v>
      </c>
      <c r="L44" s="17" t="s">
        <v>45</v>
      </c>
      <c r="M44" s="17" t="s">
        <v>1066</v>
      </c>
      <c r="N44" s="17" t="s">
        <v>64</v>
      </c>
    </row>
    <row r="45" ht="60.0" customHeight="1">
      <c r="A45" s="20" t="s">
        <v>147</v>
      </c>
      <c r="B45" s="20" t="s">
        <v>55</v>
      </c>
      <c r="C45" s="20" t="s">
        <v>774</v>
      </c>
      <c r="D45" s="20" t="s">
        <v>39</v>
      </c>
      <c r="E45" s="20" t="s">
        <v>40</v>
      </c>
      <c r="F45" s="37">
        <v>32.6</v>
      </c>
      <c r="G45" s="20" t="s">
        <v>775</v>
      </c>
      <c r="H45" s="20" t="s">
        <v>774</v>
      </c>
      <c r="I45" s="20" t="s">
        <v>188</v>
      </c>
      <c r="J45" s="20" t="s">
        <v>189</v>
      </c>
      <c r="K45" s="20" t="s">
        <v>190</v>
      </c>
      <c r="L45" s="20" t="s">
        <v>45</v>
      </c>
      <c r="M45" s="20" t="s">
        <v>776</v>
      </c>
      <c r="N45" s="20" t="s">
        <v>64</v>
      </c>
    </row>
    <row r="46" ht="60.0" customHeight="1">
      <c r="A46" s="17" t="s">
        <v>147</v>
      </c>
      <c r="B46" s="17" t="s">
        <v>55</v>
      </c>
      <c r="C46" s="17" t="s">
        <v>655</v>
      </c>
      <c r="D46" s="17" t="s">
        <v>39</v>
      </c>
      <c r="E46" s="17" t="s">
        <v>40</v>
      </c>
      <c r="F46" s="36">
        <v>18.4</v>
      </c>
      <c r="G46" s="17" t="s">
        <v>656</v>
      </c>
      <c r="H46" s="17" t="s">
        <v>655</v>
      </c>
      <c r="I46" s="17" t="s">
        <v>657</v>
      </c>
      <c r="J46" s="17" t="s">
        <v>371</v>
      </c>
      <c r="K46" s="17" t="s">
        <v>372</v>
      </c>
      <c r="L46" s="17" t="s">
        <v>45</v>
      </c>
      <c r="M46" s="17" t="s">
        <v>658</v>
      </c>
      <c r="N46" s="17" t="s">
        <v>174</v>
      </c>
    </row>
    <row r="47" ht="60.0" customHeight="1">
      <c r="A47" s="20" t="s">
        <v>147</v>
      </c>
      <c r="B47" s="20" t="s">
        <v>55</v>
      </c>
      <c r="C47" s="20" t="s">
        <v>655</v>
      </c>
      <c r="D47" s="20" t="s">
        <v>39</v>
      </c>
      <c r="E47" s="20" t="s">
        <v>40</v>
      </c>
      <c r="F47" s="37">
        <v>78.59</v>
      </c>
      <c r="G47" s="20" t="s">
        <v>980</v>
      </c>
      <c r="H47" s="20" t="s">
        <v>655</v>
      </c>
      <c r="I47" s="20" t="s">
        <v>657</v>
      </c>
      <c r="J47" s="20" t="s">
        <v>371</v>
      </c>
      <c r="K47" s="20" t="s">
        <v>372</v>
      </c>
      <c r="L47" s="20" t="s">
        <v>45</v>
      </c>
      <c r="M47" s="20" t="s">
        <v>981</v>
      </c>
      <c r="N47" s="20" t="s">
        <v>174</v>
      </c>
    </row>
    <row r="48" ht="60.0" customHeight="1">
      <c r="A48" s="17" t="s">
        <v>147</v>
      </c>
      <c r="B48" s="17" t="s">
        <v>55</v>
      </c>
      <c r="C48" s="17" t="s">
        <v>424</v>
      </c>
      <c r="D48" s="17" t="s">
        <v>149</v>
      </c>
      <c r="E48" s="17" t="s">
        <v>150</v>
      </c>
      <c r="F48" s="36">
        <v>378.36</v>
      </c>
      <c r="G48" s="17" t="s">
        <v>461</v>
      </c>
      <c r="H48" s="17" t="s">
        <v>424</v>
      </c>
      <c r="I48" s="17" t="s">
        <v>426</v>
      </c>
      <c r="J48" s="17" t="s">
        <v>427</v>
      </c>
      <c r="K48" s="17" t="s">
        <v>428</v>
      </c>
      <c r="L48" s="17" t="s">
        <v>45</v>
      </c>
      <c r="M48" s="17" t="s">
        <v>462</v>
      </c>
      <c r="N48" s="17" t="s">
        <v>64</v>
      </c>
    </row>
    <row r="49" ht="60.0" customHeight="1">
      <c r="A49" s="20" t="s">
        <v>147</v>
      </c>
      <c r="B49" s="20" t="s">
        <v>55</v>
      </c>
      <c r="C49" s="20" t="s">
        <v>148</v>
      </c>
      <c r="D49" s="20" t="s">
        <v>149</v>
      </c>
      <c r="E49" s="20" t="s">
        <v>150</v>
      </c>
      <c r="F49" s="37">
        <v>18.66</v>
      </c>
      <c r="G49" s="20" t="s">
        <v>151</v>
      </c>
      <c r="H49" s="20" t="s">
        <v>148</v>
      </c>
      <c r="I49" s="20" t="s">
        <v>152</v>
      </c>
      <c r="J49" s="20" t="s">
        <v>153</v>
      </c>
      <c r="K49" s="20" t="s">
        <v>154</v>
      </c>
      <c r="L49" s="20" t="s">
        <v>45</v>
      </c>
      <c r="M49" s="20" t="s">
        <v>155</v>
      </c>
      <c r="N49" s="20" t="s">
        <v>64</v>
      </c>
    </row>
    <row r="50" ht="60.0" customHeight="1">
      <c r="A50" s="17" t="s">
        <v>147</v>
      </c>
      <c r="B50" s="17" t="s">
        <v>55</v>
      </c>
      <c r="C50" s="17" t="s">
        <v>368</v>
      </c>
      <c r="D50" s="17" t="s">
        <v>39</v>
      </c>
      <c r="E50" s="17" t="s">
        <v>40</v>
      </c>
      <c r="F50" s="36">
        <v>150.54</v>
      </c>
      <c r="G50" s="17" t="s">
        <v>1138</v>
      </c>
      <c r="H50" s="17" t="s">
        <v>368</v>
      </c>
      <c r="I50" s="17" t="s">
        <v>370</v>
      </c>
      <c r="J50" s="17" t="s">
        <v>371</v>
      </c>
      <c r="K50" s="17" t="s">
        <v>372</v>
      </c>
      <c r="L50" s="17" t="s">
        <v>45</v>
      </c>
      <c r="M50" s="17" t="s">
        <v>1139</v>
      </c>
      <c r="N50" s="17" t="s">
        <v>182</v>
      </c>
    </row>
    <row r="51" ht="60.0" customHeight="1">
      <c r="A51" s="20" t="s">
        <v>147</v>
      </c>
      <c r="B51" s="20" t="s">
        <v>55</v>
      </c>
      <c r="C51" s="20" t="s">
        <v>1020</v>
      </c>
      <c r="D51" s="20" t="s">
        <v>39</v>
      </c>
      <c r="E51" s="20" t="s">
        <v>40</v>
      </c>
      <c r="F51" s="37">
        <v>90.3</v>
      </c>
      <c r="G51" s="20" t="s">
        <v>1021</v>
      </c>
      <c r="H51" s="20" t="s">
        <v>1020</v>
      </c>
      <c r="I51" s="20" t="s">
        <v>1022</v>
      </c>
      <c r="J51" s="20" t="s">
        <v>371</v>
      </c>
      <c r="K51" s="20" t="s">
        <v>372</v>
      </c>
      <c r="L51" s="20" t="s">
        <v>45</v>
      </c>
      <c r="M51" s="20" t="s">
        <v>1023</v>
      </c>
      <c r="N51" s="20" t="s">
        <v>417</v>
      </c>
    </row>
    <row r="52" ht="60.0" customHeight="1">
      <c r="A52" s="17" t="s">
        <v>37</v>
      </c>
      <c r="B52" s="17" t="s">
        <v>55</v>
      </c>
      <c r="C52" s="17" t="s">
        <v>873</v>
      </c>
      <c r="D52" s="17" t="s">
        <v>39</v>
      </c>
      <c r="E52" s="17" t="s">
        <v>40</v>
      </c>
      <c r="F52" s="36">
        <v>161.3</v>
      </c>
      <c r="G52" s="17" t="s">
        <v>1161</v>
      </c>
      <c r="H52" s="17" t="s">
        <v>873</v>
      </c>
      <c r="I52" s="17" t="s">
        <v>279</v>
      </c>
      <c r="J52" s="17" t="s">
        <v>280</v>
      </c>
      <c r="K52" s="17" t="s">
        <v>281</v>
      </c>
      <c r="L52" s="17" t="s">
        <v>45</v>
      </c>
      <c r="M52" s="17" t="s">
        <v>1162</v>
      </c>
      <c r="N52" s="17" t="s">
        <v>64</v>
      </c>
    </row>
    <row r="53" ht="60.0" customHeight="1">
      <c r="A53" s="20" t="s">
        <v>37</v>
      </c>
      <c r="B53" s="20" t="s">
        <v>55</v>
      </c>
      <c r="C53" s="20" t="s">
        <v>84</v>
      </c>
      <c r="D53" s="20" t="s">
        <v>67</v>
      </c>
      <c r="E53" s="20" t="s">
        <v>68</v>
      </c>
      <c r="F53" s="37">
        <v>26.49</v>
      </c>
      <c r="G53" s="20" t="s">
        <v>175</v>
      </c>
      <c r="H53" s="20" t="s">
        <v>84</v>
      </c>
      <c r="I53" s="20" t="s">
        <v>86</v>
      </c>
      <c r="J53" s="20" t="s">
        <v>87</v>
      </c>
      <c r="K53" s="20" t="s">
        <v>88</v>
      </c>
      <c r="L53" s="20" t="s">
        <v>45</v>
      </c>
      <c r="M53" s="20" t="s">
        <v>176</v>
      </c>
      <c r="N53" s="20" t="s">
        <v>90</v>
      </c>
    </row>
    <row r="54" ht="60.0" customHeight="1">
      <c r="A54" s="17" t="s">
        <v>37</v>
      </c>
      <c r="B54" s="17" t="s">
        <v>55</v>
      </c>
      <c r="C54" s="17" t="s">
        <v>1114</v>
      </c>
      <c r="D54" s="17" t="s">
        <v>39</v>
      </c>
      <c r="E54" s="17" t="s">
        <v>40</v>
      </c>
      <c r="F54" s="36">
        <v>1592.2</v>
      </c>
      <c r="G54" s="17" t="s">
        <v>1375</v>
      </c>
      <c r="H54" s="17" t="s">
        <v>1114</v>
      </c>
      <c r="I54" s="17" t="s">
        <v>1116</v>
      </c>
      <c r="J54" s="17" t="s">
        <v>371</v>
      </c>
      <c r="K54" s="17" t="s">
        <v>1117</v>
      </c>
      <c r="L54" s="17" t="s">
        <v>45</v>
      </c>
      <c r="M54" s="17" t="s">
        <v>1376</v>
      </c>
      <c r="N54" s="17" t="s">
        <v>1119</v>
      </c>
    </row>
    <row r="55" ht="60.0" customHeight="1">
      <c r="A55" s="20" t="s">
        <v>37</v>
      </c>
      <c r="B55" s="20" t="s">
        <v>55</v>
      </c>
      <c r="C55" s="20" t="s">
        <v>700</v>
      </c>
      <c r="D55" s="20" t="s">
        <v>149</v>
      </c>
      <c r="E55" s="20" t="s">
        <v>150</v>
      </c>
      <c r="F55" s="37">
        <v>36.04</v>
      </c>
      <c r="G55" s="20" t="s">
        <v>797</v>
      </c>
      <c r="H55" s="20" t="s">
        <v>700</v>
      </c>
      <c r="I55" s="20" t="s">
        <v>702</v>
      </c>
      <c r="J55" s="20" t="s">
        <v>71</v>
      </c>
      <c r="K55" s="20" t="s">
        <v>112</v>
      </c>
      <c r="L55" s="20" t="s">
        <v>45</v>
      </c>
      <c r="M55" s="20" t="s">
        <v>798</v>
      </c>
      <c r="N55" s="20" t="s">
        <v>114</v>
      </c>
    </row>
    <row r="56" ht="60.0" customHeight="1">
      <c r="A56" s="17" t="s">
        <v>37</v>
      </c>
      <c r="B56" s="17" t="s">
        <v>55</v>
      </c>
      <c r="C56" s="17" t="s">
        <v>56</v>
      </c>
      <c r="D56" s="17" t="s">
        <v>57</v>
      </c>
      <c r="E56" s="17" t="s">
        <v>58</v>
      </c>
      <c r="F56" s="36">
        <v>16.73</v>
      </c>
      <c r="G56" s="17" t="s">
        <v>145</v>
      </c>
      <c r="H56" s="17" t="s">
        <v>56</v>
      </c>
      <c r="I56" s="17" t="s">
        <v>60</v>
      </c>
      <c r="J56" s="17" t="s">
        <v>61</v>
      </c>
      <c r="K56" s="17" t="s">
        <v>62</v>
      </c>
      <c r="L56" s="17" t="s">
        <v>45</v>
      </c>
      <c r="M56" s="17" t="s">
        <v>146</v>
      </c>
      <c r="N56" s="17" t="s">
        <v>64</v>
      </c>
    </row>
    <row r="57" ht="60.0" customHeight="1">
      <c r="A57" s="20" t="s">
        <v>37</v>
      </c>
      <c r="B57" s="20" t="s">
        <v>55</v>
      </c>
      <c r="C57" s="20" t="s">
        <v>809</v>
      </c>
      <c r="D57" s="20" t="s">
        <v>39</v>
      </c>
      <c r="E57" s="20" t="s">
        <v>40</v>
      </c>
      <c r="F57" s="37">
        <v>64.75</v>
      </c>
      <c r="G57" s="20" t="s">
        <v>927</v>
      </c>
      <c r="H57" s="20" t="s">
        <v>809</v>
      </c>
      <c r="I57" s="20" t="s">
        <v>60</v>
      </c>
      <c r="J57" s="20" t="s">
        <v>61</v>
      </c>
      <c r="K57" s="20" t="s">
        <v>62</v>
      </c>
      <c r="L57" s="20" t="s">
        <v>45</v>
      </c>
      <c r="M57" s="20" t="s">
        <v>928</v>
      </c>
      <c r="N57" s="20" t="s">
        <v>64</v>
      </c>
    </row>
    <row r="58" ht="60.0" customHeight="1">
      <c r="A58" s="17" t="s">
        <v>37</v>
      </c>
      <c r="B58" s="17" t="s">
        <v>55</v>
      </c>
      <c r="C58" s="17" t="s">
        <v>38</v>
      </c>
      <c r="D58" s="17" t="s">
        <v>39</v>
      </c>
      <c r="E58" s="17" t="s">
        <v>40</v>
      </c>
      <c r="F58" s="36">
        <v>1.0</v>
      </c>
      <c r="G58" s="17" t="s">
        <v>41</v>
      </c>
      <c r="H58" s="17" t="s">
        <v>38</v>
      </c>
      <c r="I58" s="17" t="s">
        <v>42</v>
      </c>
      <c r="J58" s="17" t="s">
        <v>43</v>
      </c>
      <c r="K58" s="17" t="s">
        <v>44</v>
      </c>
      <c r="L58" s="17" t="s">
        <v>45</v>
      </c>
      <c r="M58" s="17" t="s">
        <v>46</v>
      </c>
      <c r="N58" s="17" t="s">
        <v>47</v>
      </c>
    </row>
    <row r="59" ht="60.0" customHeight="1">
      <c r="A59" s="20" t="s">
        <v>37</v>
      </c>
      <c r="B59" s="20" t="s">
        <v>55</v>
      </c>
      <c r="C59" s="20" t="s">
        <v>38</v>
      </c>
      <c r="D59" s="20" t="s">
        <v>39</v>
      </c>
      <c r="E59" s="20" t="s">
        <v>40</v>
      </c>
      <c r="F59" s="37">
        <v>1.0</v>
      </c>
      <c r="G59" s="20" t="s">
        <v>48</v>
      </c>
      <c r="H59" s="20" t="s">
        <v>38</v>
      </c>
      <c r="I59" s="20" t="s">
        <v>42</v>
      </c>
      <c r="J59" s="20" t="s">
        <v>43</v>
      </c>
      <c r="K59" s="20" t="s">
        <v>44</v>
      </c>
      <c r="L59" s="20" t="s">
        <v>45</v>
      </c>
      <c r="M59" s="20" t="s">
        <v>49</v>
      </c>
      <c r="N59" s="20" t="s">
        <v>47</v>
      </c>
    </row>
    <row r="60" ht="60.0" customHeight="1">
      <c r="A60" s="17" t="s">
        <v>37</v>
      </c>
      <c r="B60" s="17" t="s">
        <v>55</v>
      </c>
      <c r="C60" s="17" t="s">
        <v>38</v>
      </c>
      <c r="D60" s="17" t="s">
        <v>39</v>
      </c>
      <c r="E60" s="17" t="s">
        <v>40</v>
      </c>
      <c r="F60" s="36">
        <v>1.0</v>
      </c>
      <c r="G60" s="17" t="s">
        <v>50</v>
      </c>
      <c r="H60" s="17" t="s">
        <v>38</v>
      </c>
      <c r="I60" s="17" t="s">
        <v>42</v>
      </c>
      <c r="J60" s="17" t="s">
        <v>43</v>
      </c>
      <c r="K60" s="17" t="s">
        <v>44</v>
      </c>
      <c r="L60" s="17" t="s">
        <v>45</v>
      </c>
      <c r="M60" s="17" t="s">
        <v>51</v>
      </c>
      <c r="N60" s="17" t="s">
        <v>47</v>
      </c>
    </row>
    <row r="61" ht="60.0" customHeight="1">
      <c r="A61" s="20" t="s">
        <v>37</v>
      </c>
      <c r="B61" s="20" t="s">
        <v>55</v>
      </c>
      <c r="C61" s="20" t="s">
        <v>38</v>
      </c>
      <c r="D61" s="20" t="s">
        <v>39</v>
      </c>
      <c r="E61" s="20" t="s">
        <v>40</v>
      </c>
      <c r="F61" s="37">
        <v>1.0</v>
      </c>
      <c r="G61" s="20" t="s">
        <v>52</v>
      </c>
      <c r="H61" s="20" t="s">
        <v>38</v>
      </c>
      <c r="I61" s="20" t="s">
        <v>42</v>
      </c>
      <c r="J61" s="20" t="s">
        <v>43</v>
      </c>
      <c r="K61" s="20" t="s">
        <v>44</v>
      </c>
      <c r="L61" s="20" t="s">
        <v>45</v>
      </c>
      <c r="M61" s="20" t="s">
        <v>53</v>
      </c>
      <c r="N61" s="20" t="s">
        <v>47</v>
      </c>
    </row>
    <row r="62" ht="60.0" customHeight="1">
      <c r="A62" s="17" t="s">
        <v>37</v>
      </c>
      <c r="B62" s="17" t="s">
        <v>55</v>
      </c>
      <c r="C62" s="17" t="s">
        <v>92</v>
      </c>
      <c r="D62" s="17" t="s">
        <v>93</v>
      </c>
      <c r="E62" s="17" t="s">
        <v>94</v>
      </c>
      <c r="F62" s="36">
        <v>38.6</v>
      </c>
      <c r="G62" s="17" t="s">
        <v>814</v>
      </c>
      <c r="H62" s="17" t="s">
        <v>92</v>
      </c>
      <c r="I62" s="17" t="s">
        <v>208</v>
      </c>
      <c r="J62" s="17" t="s">
        <v>97</v>
      </c>
      <c r="K62" s="17" t="s">
        <v>98</v>
      </c>
      <c r="L62" s="17" t="s">
        <v>45</v>
      </c>
      <c r="M62" s="17" t="s">
        <v>815</v>
      </c>
      <c r="N62" s="17" t="s">
        <v>64</v>
      </c>
    </row>
    <row r="63" ht="60.0" customHeight="1">
      <c r="A63" s="20" t="s">
        <v>37</v>
      </c>
      <c r="B63" s="20" t="s">
        <v>55</v>
      </c>
      <c r="C63" s="20" t="s">
        <v>92</v>
      </c>
      <c r="D63" s="20" t="s">
        <v>93</v>
      </c>
      <c r="E63" s="20" t="s">
        <v>94</v>
      </c>
      <c r="F63" s="37">
        <v>46.28</v>
      </c>
      <c r="G63" s="20" t="s">
        <v>851</v>
      </c>
      <c r="H63" s="20" t="s">
        <v>92</v>
      </c>
      <c r="I63" s="20" t="s">
        <v>96</v>
      </c>
      <c r="J63" s="20" t="s">
        <v>97</v>
      </c>
      <c r="K63" s="20" t="s">
        <v>98</v>
      </c>
      <c r="L63" s="20" t="s">
        <v>45</v>
      </c>
      <c r="M63" s="20" t="s">
        <v>852</v>
      </c>
      <c r="N63" s="20" t="s">
        <v>64</v>
      </c>
    </row>
    <row r="64" ht="60.0" customHeight="1">
      <c r="A64" s="17" t="s">
        <v>37</v>
      </c>
      <c r="B64" s="17" t="s">
        <v>55</v>
      </c>
      <c r="C64" s="17" t="s">
        <v>92</v>
      </c>
      <c r="D64" s="17" t="s">
        <v>93</v>
      </c>
      <c r="E64" s="17" t="s">
        <v>94</v>
      </c>
      <c r="F64" s="36">
        <v>52.64</v>
      </c>
      <c r="G64" s="17" t="s">
        <v>886</v>
      </c>
      <c r="H64" s="17" t="s">
        <v>92</v>
      </c>
      <c r="I64" s="17" t="s">
        <v>96</v>
      </c>
      <c r="J64" s="17" t="s">
        <v>97</v>
      </c>
      <c r="K64" s="17" t="s">
        <v>98</v>
      </c>
      <c r="L64" s="17" t="s">
        <v>45</v>
      </c>
      <c r="M64" s="17" t="s">
        <v>887</v>
      </c>
      <c r="N64" s="17" t="s">
        <v>64</v>
      </c>
    </row>
    <row r="65" ht="60.0" customHeight="1">
      <c r="A65" s="20" t="s">
        <v>37</v>
      </c>
      <c r="B65" s="20" t="s">
        <v>55</v>
      </c>
      <c r="C65" s="20" t="s">
        <v>92</v>
      </c>
      <c r="D65" s="20" t="s">
        <v>93</v>
      </c>
      <c r="E65" s="20" t="s">
        <v>94</v>
      </c>
      <c r="F65" s="37">
        <v>162.35</v>
      </c>
      <c r="G65" s="20" t="s">
        <v>1163</v>
      </c>
      <c r="H65" s="20" t="s">
        <v>92</v>
      </c>
      <c r="I65" s="20" t="s">
        <v>208</v>
      </c>
      <c r="J65" s="20" t="s">
        <v>97</v>
      </c>
      <c r="K65" s="20" t="s">
        <v>98</v>
      </c>
      <c r="L65" s="20" t="s">
        <v>45</v>
      </c>
      <c r="M65" s="20" t="s">
        <v>1164</v>
      </c>
      <c r="N65" s="20" t="s">
        <v>64</v>
      </c>
    </row>
    <row r="66" ht="60.0" customHeight="1">
      <c r="A66" s="17" t="s">
        <v>37</v>
      </c>
      <c r="B66" s="17" t="s">
        <v>55</v>
      </c>
      <c r="C66" s="17" t="s">
        <v>92</v>
      </c>
      <c r="D66" s="17" t="s">
        <v>93</v>
      </c>
      <c r="E66" s="17" t="s">
        <v>94</v>
      </c>
      <c r="F66" s="36">
        <v>172.22</v>
      </c>
      <c r="G66" s="17" t="s">
        <v>1173</v>
      </c>
      <c r="H66" s="17" t="s">
        <v>92</v>
      </c>
      <c r="I66" s="17" t="s">
        <v>208</v>
      </c>
      <c r="J66" s="17" t="s">
        <v>97</v>
      </c>
      <c r="K66" s="17" t="s">
        <v>98</v>
      </c>
      <c r="L66" s="17" t="s">
        <v>45</v>
      </c>
      <c r="M66" s="17" t="s">
        <v>1174</v>
      </c>
      <c r="N66" s="17" t="s">
        <v>64</v>
      </c>
    </row>
    <row r="67" ht="60.0" customHeight="1">
      <c r="A67" s="20" t="s">
        <v>37</v>
      </c>
      <c r="B67" s="20" t="s">
        <v>55</v>
      </c>
      <c r="C67" s="20" t="s">
        <v>92</v>
      </c>
      <c r="D67" s="20" t="s">
        <v>93</v>
      </c>
      <c r="E67" s="20" t="s">
        <v>94</v>
      </c>
      <c r="F67" s="37">
        <v>173.5</v>
      </c>
      <c r="G67" s="20" t="s">
        <v>1187</v>
      </c>
      <c r="H67" s="20" t="s">
        <v>92</v>
      </c>
      <c r="I67" s="20" t="s">
        <v>208</v>
      </c>
      <c r="J67" s="20" t="s">
        <v>97</v>
      </c>
      <c r="K67" s="20" t="s">
        <v>98</v>
      </c>
      <c r="L67" s="20" t="s">
        <v>45</v>
      </c>
      <c r="M67" s="20" t="s">
        <v>1188</v>
      </c>
      <c r="N67" s="20" t="s">
        <v>64</v>
      </c>
    </row>
    <row r="68" ht="60.0" customHeight="1">
      <c r="A68" s="17" t="s">
        <v>37</v>
      </c>
      <c r="B68" s="17" t="s">
        <v>55</v>
      </c>
      <c r="C68" s="17" t="s">
        <v>445</v>
      </c>
      <c r="D68" s="17" t="s">
        <v>127</v>
      </c>
      <c r="E68" s="17" t="s">
        <v>128</v>
      </c>
      <c r="F68" s="36">
        <v>1617.31</v>
      </c>
      <c r="G68" s="17" t="s">
        <v>1377</v>
      </c>
      <c r="H68" s="17" t="s">
        <v>445</v>
      </c>
      <c r="I68" s="17" t="s">
        <v>447</v>
      </c>
      <c r="J68" s="17" t="s">
        <v>142</v>
      </c>
      <c r="K68" s="17" t="s">
        <v>143</v>
      </c>
      <c r="L68" s="17" t="s">
        <v>45</v>
      </c>
      <c r="M68" s="17" t="s">
        <v>1378</v>
      </c>
      <c r="N68" s="17" t="s">
        <v>182</v>
      </c>
    </row>
    <row r="69" ht="60.0" customHeight="1">
      <c r="A69" s="20" t="s">
        <v>37</v>
      </c>
      <c r="B69" s="20" t="s">
        <v>55</v>
      </c>
      <c r="C69" s="20" t="s">
        <v>445</v>
      </c>
      <c r="D69" s="20" t="s">
        <v>127</v>
      </c>
      <c r="E69" s="20" t="s">
        <v>128</v>
      </c>
      <c r="F69" s="37">
        <v>1850.04</v>
      </c>
      <c r="G69" s="20" t="s">
        <v>1377</v>
      </c>
      <c r="H69" s="20" t="s">
        <v>445</v>
      </c>
      <c r="I69" s="20" t="s">
        <v>447</v>
      </c>
      <c r="J69" s="20" t="s">
        <v>142</v>
      </c>
      <c r="K69" s="20" t="s">
        <v>143</v>
      </c>
      <c r="L69" s="20" t="s">
        <v>45</v>
      </c>
      <c r="M69" s="20" t="s">
        <v>1383</v>
      </c>
      <c r="N69" s="20" t="s">
        <v>182</v>
      </c>
    </row>
    <row r="70" ht="60.0" customHeight="1">
      <c r="A70" s="17" t="s">
        <v>37</v>
      </c>
      <c r="B70" s="17" t="s">
        <v>55</v>
      </c>
      <c r="C70" s="17" t="s">
        <v>222</v>
      </c>
      <c r="D70" s="17" t="s">
        <v>67</v>
      </c>
      <c r="E70" s="17" t="s">
        <v>68</v>
      </c>
      <c r="F70" s="36">
        <v>45.7</v>
      </c>
      <c r="G70" s="17" t="s">
        <v>223</v>
      </c>
      <c r="H70" s="17" t="s">
        <v>222</v>
      </c>
      <c r="I70" s="17" t="s">
        <v>70</v>
      </c>
      <c r="J70" s="17" t="s">
        <v>71</v>
      </c>
      <c r="K70" s="17" t="s">
        <v>72</v>
      </c>
      <c r="L70" s="17" t="s">
        <v>45</v>
      </c>
      <c r="M70" s="17" t="s">
        <v>224</v>
      </c>
      <c r="N70" s="17" t="s">
        <v>74</v>
      </c>
    </row>
    <row r="71" ht="60.0" customHeight="1">
      <c r="A71" s="20" t="s">
        <v>37</v>
      </c>
      <c r="B71" s="20" t="s">
        <v>55</v>
      </c>
      <c r="C71" s="20" t="s">
        <v>1130</v>
      </c>
      <c r="D71" s="20" t="s">
        <v>353</v>
      </c>
      <c r="E71" s="20" t="s">
        <v>354</v>
      </c>
      <c r="F71" s="37">
        <v>148.19</v>
      </c>
      <c r="G71" s="20" t="s">
        <v>1131</v>
      </c>
      <c r="H71" s="20" t="s">
        <v>1130</v>
      </c>
      <c r="I71" s="20" t="s">
        <v>1132</v>
      </c>
      <c r="J71" s="20" t="s">
        <v>1133</v>
      </c>
      <c r="K71" s="20" t="s">
        <v>1134</v>
      </c>
      <c r="L71" s="20" t="s">
        <v>45</v>
      </c>
      <c r="M71" s="20" t="s">
        <v>1135</v>
      </c>
      <c r="N71" s="20" t="s">
        <v>182</v>
      </c>
    </row>
    <row r="72" ht="60.0" customHeight="1">
      <c r="A72" s="17" t="s">
        <v>37</v>
      </c>
      <c r="B72" s="17" t="s">
        <v>55</v>
      </c>
      <c r="C72" s="17" t="s">
        <v>436</v>
      </c>
      <c r="D72" s="17" t="s">
        <v>39</v>
      </c>
      <c r="E72" s="17" t="s">
        <v>40</v>
      </c>
      <c r="F72" s="36">
        <v>243.45</v>
      </c>
      <c r="G72" s="17" t="s">
        <v>437</v>
      </c>
      <c r="H72" s="17" t="s">
        <v>436</v>
      </c>
      <c r="I72" s="17" t="s">
        <v>438</v>
      </c>
      <c r="J72" s="17" t="s">
        <v>371</v>
      </c>
      <c r="K72" s="17" t="s">
        <v>372</v>
      </c>
      <c r="L72" s="17" t="s">
        <v>45</v>
      </c>
      <c r="M72" s="17" t="s">
        <v>439</v>
      </c>
      <c r="N72" s="17" t="s">
        <v>174</v>
      </c>
    </row>
    <row r="73" ht="60.0" customHeight="1">
      <c r="A73" s="20" t="s">
        <v>37</v>
      </c>
      <c r="B73" s="20" t="s">
        <v>55</v>
      </c>
      <c r="C73" s="20" t="s">
        <v>557</v>
      </c>
      <c r="D73" s="20" t="s">
        <v>138</v>
      </c>
      <c r="E73" s="20" t="s">
        <v>139</v>
      </c>
      <c r="F73" s="37">
        <v>100.0</v>
      </c>
      <c r="G73" s="20" t="s">
        <v>1071</v>
      </c>
      <c r="H73" s="20" t="s">
        <v>557</v>
      </c>
      <c r="I73" s="20" t="s">
        <v>188</v>
      </c>
      <c r="J73" s="20" t="s">
        <v>189</v>
      </c>
      <c r="K73" s="20" t="s">
        <v>190</v>
      </c>
      <c r="L73" s="20" t="s">
        <v>45</v>
      </c>
      <c r="M73" s="20" t="s">
        <v>1072</v>
      </c>
      <c r="N73" s="20" t="s">
        <v>64</v>
      </c>
    </row>
    <row r="74" ht="60.0" customHeight="1">
      <c r="A74" s="17" t="s">
        <v>37</v>
      </c>
      <c r="B74" s="17" t="s">
        <v>55</v>
      </c>
      <c r="C74" s="17" t="s">
        <v>554</v>
      </c>
      <c r="D74" s="17" t="s">
        <v>353</v>
      </c>
      <c r="E74" s="17" t="s">
        <v>354</v>
      </c>
      <c r="F74" s="36">
        <v>27.21</v>
      </c>
      <c r="G74" s="17" t="s">
        <v>729</v>
      </c>
      <c r="H74" s="17" t="s">
        <v>554</v>
      </c>
      <c r="I74" s="17" t="s">
        <v>188</v>
      </c>
      <c r="J74" s="17" t="s">
        <v>189</v>
      </c>
      <c r="K74" s="17" t="s">
        <v>190</v>
      </c>
      <c r="L74" s="17" t="s">
        <v>45</v>
      </c>
      <c r="M74" s="17" t="s">
        <v>730</v>
      </c>
      <c r="N74" s="17" t="s">
        <v>64</v>
      </c>
    </row>
    <row r="75" ht="60.0" customHeight="1">
      <c r="A75" s="20" t="s">
        <v>37</v>
      </c>
      <c r="B75" s="20" t="s">
        <v>55</v>
      </c>
      <c r="C75" s="20" t="s">
        <v>1379</v>
      </c>
      <c r="D75" s="20" t="s">
        <v>39</v>
      </c>
      <c r="E75" s="20" t="s">
        <v>40</v>
      </c>
      <c r="F75" s="37">
        <v>1645.78</v>
      </c>
      <c r="G75" s="20" t="s">
        <v>1380</v>
      </c>
      <c r="H75" s="20" t="s">
        <v>1379</v>
      </c>
      <c r="I75" s="20" t="s">
        <v>1381</v>
      </c>
      <c r="J75" s="20" t="s">
        <v>43</v>
      </c>
      <c r="K75" s="20" t="s">
        <v>421</v>
      </c>
      <c r="L75" s="20" t="s">
        <v>45</v>
      </c>
      <c r="M75" s="20" t="s">
        <v>1382</v>
      </c>
      <c r="N75" s="20" t="s">
        <v>1144</v>
      </c>
    </row>
    <row r="76" ht="60.0" customHeight="1">
      <c r="A76" s="17" t="s">
        <v>37</v>
      </c>
      <c r="B76" s="17" t="s">
        <v>55</v>
      </c>
      <c r="C76" s="17" t="s">
        <v>1389</v>
      </c>
      <c r="D76" s="17" t="s">
        <v>93</v>
      </c>
      <c r="E76" s="17" t="s">
        <v>94</v>
      </c>
      <c r="F76" s="36">
        <v>-40000.0</v>
      </c>
      <c r="G76" s="17" t="s">
        <v>1390</v>
      </c>
      <c r="H76" s="17" t="s">
        <v>1389</v>
      </c>
      <c r="I76" s="17" t="s">
        <v>55</v>
      </c>
      <c r="J76" s="17" t="s">
        <v>55</v>
      </c>
      <c r="K76" s="17" t="s">
        <v>55</v>
      </c>
      <c r="L76" s="17" t="s">
        <v>55</v>
      </c>
      <c r="M76" s="17" t="s">
        <v>1395</v>
      </c>
      <c r="N76" s="17" t="s">
        <v>55</v>
      </c>
    </row>
    <row r="77" ht="60.0" customHeight="1">
      <c r="A77" s="20" t="s">
        <v>37</v>
      </c>
      <c r="B77" s="20" t="s">
        <v>55</v>
      </c>
      <c r="C77" s="20" t="s">
        <v>1213</v>
      </c>
      <c r="D77" s="20" t="s">
        <v>93</v>
      </c>
      <c r="E77" s="20" t="s">
        <v>94</v>
      </c>
      <c r="F77" s="37">
        <v>191.38</v>
      </c>
      <c r="G77" s="20" t="s">
        <v>1214</v>
      </c>
      <c r="H77" s="20" t="s">
        <v>1213</v>
      </c>
      <c r="I77" s="20" t="s">
        <v>1215</v>
      </c>
      <c r="J77" s="20" t="s">
        <v>142</v>
      </c>
      <c r="K77" s="20" t="s">
        <v>180</v>
      </c>
      <c r="L77" s="20" t="s">
        <v>45</v>
      </c>
      <c r="M77" s="20" t="s">
        <v>1216</v>
      </c>
      <c r="N77" s="20" t="s">
        <v>122</v>
      </c>
    </row>
    <row r="78" ht="60.0" customHeight="1">
      <c r="A78" s="17" t="s">
        <v>37</v>
      </c>
      <c r="B78" s="17" t="s">
        <v>55</v>
      </c>
      <c r="C78" s="17" t="s">
        <v>799</v>
      </c>
      <c r="D78" s="17" t="s">
        <v>39</v>
      </c>
      <c r="E78" s="17" t="s">
        <v>40</v>
      </c>
      <c r="F78" s="36">
        <v>57.0</v>
      </c>
      <c r="G78" s="17" t="s">
        <v>912</v>
      </c>
      <c r="H78" s="17" t="s">
        <v>799</v>
      </c>
      <c r="I78" s="17" t="s">
        <v>801</v>
      </c>
      <c r="J78" s="17" t="s">
        <v>802</v>
      </c>
      <c r="K78" s="17" t="s">
        <v>803</v>
      </c>
      <c r="L78" s="17" t="s">
        <v>45</v>
      </c>
      <c r="M78" s="17" t="s">
        <v>913</v>
      </c>
      <c r="N78" s="17" t="s">
        <v>64</v>
      </c>
    </row>
    <row r="79" ht="60.0" customHeight="1">
      <c r="A79" s="20" t="s">
        <v>37</v>
      </c>
      <c r="B79" s="20" t="s">
        <v>55</v>
      </c>
      <c r="C79" s="20" t="s">
        <v>515</v>
      </c>
      <c r="D79" s="20" t="s">
        <v>127</v>
      </c>
      <c r="E79" s="20" t="s">
        <v>128</v>
      </c>
      <c r="F79" s="37">
        <v>4.04</v>
      </c>
      <c r="G79" s="20" t="s">
        <v>516</v>
      </c>
      <c r="H79" s="20" t="s">
        <v>515</v>
      </c>
      <c r="I79" s="20" t="s">
        <v>517</v>
      </c>
      <c r="J79" s="20" t="s">
        <v>142</v>
      </c>
      <c r="K79" s="20" t="s">
        <v>143</v>
      </c>
      <c r="L79" s="20" t="s">
        <v>45</v>
      </c>
      <c r="M79" s="20" t="s">
        <v>518</v>
      </c>
      <c r="N79" s="20" t="s">
        <v>64</v>
      </c>
    </row>
    <row r="80" ht="60.0" customHeight="1">
      <c r="A80" s="17" t="s">
        <v>37</v>
      </c>
      <c r="B80" s="17" t="s">
        <v>55</v>
      </c>
      <c r="C80" s="17" t="s">
        <v>1324</v>
      </c>
      <c r="D80" s="17" t="s">
        <v>39</v>
      </c>
      <c r="E80" s="17" t="s">
        <v>40</v>
      </c>
      <c r="F80" s="36">
        <v>341.1</v>
      </c>
      <c r="G80" s="17" t="s">
        <v>1325</v>
      </c>
      <c r="H80" s="17" t="s">
        <v>1324</v>
      </c>
      <c r="I80" s="17" t="s">
        <v>1326</v>
      </c>
      <c r="J80" s="17" t="s">
        <v>955</v>
      </c>
      <c r="K80" s="17" t="s">
        <v>956</v>
      </c>
      <c r="L80" s="17" t="s">
        <v>45</v>
      </c>
      <c r="M80" s="17" t="s">
        <v>1327</v>
      </c>
      <c r="N80" s="17" t="s">
        <v>182</v>
      </c>
    </row>
    <row r="81" ht="60.0" customHeight="1">
      <c r="A81" s="20" t="s">
        <v>37</v>
      </c>
      <c r="B81" s="20" t="s">
        <v>55</v>
      </c>
      <c r="C81" s="20" t="s">
        <v>197</v>
      </c>
      <c r="D81" s="20" t="s">
        <v>39</v>
      </c>
      <c r="E81" s="20" t="s">
        <v>40</v>
      </c>
      <c r="F81" s="37">
        <v>102.51</v>
      </c>
      <c r="G81" s="20" t="s">
        <v>1077</v>
      </c>
      <c r="H81" s="20" t="s">
        <v>197</v>
      </c>
      <c r="I81" s="20" t="s">
        <v>199</v>
      </c>
      <c r="J81" s="20" t="s">
        <v>200</v>
      </c>
      <c r="K81" s="20" t="s">
        <v>201</v>
      </c>
      <c r="L81" s="20" t="s">
        <v>45</v>
      </c>
      <c r="M81" s="20" t="s">
        <v>1078</v>
      </c>
      <c r="N81" s="20" t="s">
        <v>64</v>
      </c>
    </row>
    <row r="82" ht="60.0" customHeight="1">
      <c r="A82" s="17" t="s">
        <v>37</v>
      </c>
      <c r="B82" s="17" t="s">
        <v>55</v>
      </c>
      <c r="C82" s="17" t="s">
        <v>197</v>
      </c>
      <c r="D82" s="17" t="s">
        <v>39</v>
      </c>
      <c r="E82" s="17" t="s">
        <v>40</v>
      </c>
      <c r="F82" s="36">
        <v>165.98</v>
      </c>
      <c r="G82" s="17" t="s">
        <v>1165</v>
      </c>
      <c r="H82" s="17" t="s">
        <v>197</v>
      </c>
      <c r="I82" s="17" t="s">
        <v>199</v>
      </c>
      <c r="J82" s="17" t="s">
        <v>200</v>
      </c>
      <c r="K82" s="17" t="s">
        <v>201</v>
      </c>
      <c r="L82" s="17" t="s">
        <v>45</v>
      </c>
      <c r="M82" s="17" t="s">
        <v>1166</v>
      </c>
      <c r="N82" s="17" t="s">
        <v>64</v>
      </c>
    </row>
    <row r="83" ht="60.0" customHeight="1">
      <c r="A83" s="20" t="s">
        <v>37</v>
      </c>
      <c r="B83" s="20" t="s">
        <v>55</v>
      </c>
      <c r="C83" s="20" t="s">
        <v>197</v>
      </c>
      <c r="D83" s="20" t="s">
        <v>39</v>
      </c>
      <c r="E83" s="20" t="s">
        <v>40</v>
      </c>
      <c r="F83" s="37">
        <v>175.0</v>
      </c>
      <c r="G83" s="20" t="s">
        <v>1203</v>
      </c>
      <c r="H83" s="20" t="s">
        <v>197</v>
      </c>
      <c r="I83" s="20" t="s">
        <v>199</v>
      </c>
      <c r="J83" s="20" t="s">
        <v>200</v>
      </c>
      <c r="K83" s="20" t="s">
        <v>201</v>
      </c>
      <c r="L83" s="20" t="s">
        <v>45</v>
      </c>
      <c r="M83" s="20" t="s">
        <v>1204</v>
      </c>
      <c r="N83" s="20" t="s">
        <v>64</v>
      </c>
    </row>
    <row r="84" ht="60.0" customHeight="1">
      <c r="A84" s="17" t="s">
        <v>367</v>
      </c>
      <c r="B84" s="17" t="s">
        <v>55</v>
      </c>
      <c r="C84" s="17" t="s">
        <v>1114</v>
      </c>
      <c r="D84" s="17" t="s">
        <v>39</v>
      </c>
      <c r="E84" s="17" t="s">
        <v>40</v>
      </c>
      <c r="F84" s="36">
        <v>160.69</v>
      </c>
      <c r="G84" s="17" t="s">
        <v>1157</v>
      </c>
      <c r="H84" s="17" t="s">
        <v>1114</v>
      </c>
      <c r="I84" s="17" t="s">
        <v>1116</v>
      </c>
      <c r="J84" s="17" t="s">
        <v>371</v>
      </c>
      <c r="K84" s="17" t="s">
        <v>1117</v>
      </c>
      <c r="L84" s="17" t="s">
        <v>45</v>
      </c>
      <c r="M84" s="17" t="s">
        <v>1158</v>
      </c>
      <c r="N84" s="17" t="s">
        <v>1119</v>
      </c>
    </row>
    <row r="85" ht="60.0" customHeight="1">
      <c r="A85" s="20" t="s">
        <v>367</v>
      </c>
      <c r="B85" s="20" t="s">
        <v>55</v>
      </c>
      <c r="C85" s="20" t="s">
        <v>1114</v>
      </c>
      <c r="D85" s="20" t="s">
        <v>39</v>
      </c>
      <c r="E85" s="20" t="s">
        <v>40</v>
      </c>
      <c r="F85" s="37">
        <v>1305.7</v>
      </c>
      <c r="G85" s="20" t="s">
        <v>1157</v>
      </c>
      <c r="H85" s="20" t="s">
        <v>1114</v>
      </c>
      <c r="I85" s="20" t="s">
        <v>1116</v>
      </c>
      <c r="J85" s="20" t="s">
        <v>371</v>
      </c>
      <c r="K85" s="20" t="s">
        <v>1117</v>
      </c>
      <c r="L85" s="20" t="s">
        <v>45</v>
      </c>
      <c r="M85" s="20" t="s">
        <v>1372</v>
      </c>
      <c r="N85" s="20" t="s">
        <v>1119</v>
      </c>
    </row>
    <row r="86" ht="60.0" customHeight="1">
      <c r="A86" s="17" t="s">
        <v>367</v>
      </c>
      <c r="B86" s="17" t="s">
        <v>55</v>
      </c>
      <c r="C86" s="17" t="s">
        <v>809</v>
      </c>
      <c r="D86" s="17" t="s">
        <v>39</v>
      </c>
      <c r="E86" s="17" t="s">
        <v>40</v>
      </c>
      <c r="F86" s="36">
        <v>38.0</v>
      </c>
      <c r="G86" s="17" t="s">
        <v>810</v>
      </c>
      <c r="H86" s="17" t="s">
        <v>809</v>
      </c>
      <c r="I86" s="17" t="s">
        <v>60</v>
      </c>
      <c r="J86" s="17" t="s">
        <v>61</v>
      </c>
      <c r="K86" s="17" t="s">
        <v>62</v>
      </c>
      <c r="L86" s="17" t="s">
        <v>45</v>
      </c>
      <c r="M86" s="17" t="s">
        <v>811</v>
      </c>
      <c r="N86" s="17" t="s">
        <v>64</v>
      </c>
    </row>
    <row r="87" ht="60.0" customHeight="1">
      <c r="A87" s="20" t="s">
        <v>367</v>
      </c>
      <c r="B87" s="20" t="s">
        <v>55</v>
      </c>
      <c r="C87" s="20" t="s">
        <v>92</v>
      </c>
      <c r="D87" s="20" t="s">
        <v>149</v>
      </c>
      <c r="E87" s="20" t="s">
        <v>150</v>
      </c>
      <c r="F87" s="37">
        <v>78.44</v>
      </c>
      <c r="G87" s="20" t="s">
        <v>978</v>
      </c>
      <c r="H87" s="20" t="s">
        <v>92</v>
      </c>
      <c r="I87" s="20" t="s">
        <v>208</v>
      </c>
      <c r="J87" s="20" t="s">
        <v>97</v>
      </c>
      <c r="K87" s="20" t="s">
        <v>98</v>
      </c>
      <c r="L87" s="20" t="s">
        <v>45</v>
      </c>
      <c r="M87" s="20" t="s">
        <v>979</v>
      </c>
      <c r="N87" s="20" t="s">
        <v>64</v>
      </c>
    </row>
    <row r="88" ht="60.0" customHeight="1">
      <c r="A88" s="17" t="s">
        <v>367</v>
      </c>
      <c r="B88" s="17" t="s">
        <v>55</v>
      </c>
      <c r="C88" s="17" t="s">
        <v>92</v>
      </c>
      <c r="D88" s="17" t="s">
        <v>149</v>
      </c>
      <c r="E88" s="17" t="s">
        <v>150</v>
      </c>
      <c r="F88" s="36">
        <v>80.35</v>
      </c>
      <c r="G88" s="17" t="s">
        <v>993</v>
      </c>
      <c r="H88" s="17" t="s">
        <v>92</v>
      </c>
      <c r="I88" s="17" t="s">
        <v>208</v>
      </c>
      <c r="J88" s="17" t="s">
        <v>97</v>
      </c>
      <c r="K88" s="17" t="s">
        <v>98</v>
      </c>
      <c r="L88" s="17" t="s">
        <v>45</v>
      </c>
      <c r="M88" s="17" t="s">
        <v>994</v>
      </c>
      <c r="N88" s="17" t="s">
        <v>64</v>
      </c>
    </row>
    <row r="89" ht="60.0" customHeight="1">
      <c r="A89" s="20" t="s">
        <v>367</v>
      </c>
      <c r="B89" s="20" t="s">
        <v>55</v>
      </c>
      <c r="C89" s="20" t="s">
        <v>92</v>
      </c>
      <c r="D89" s="20" t="s">
        <v>57</v>
      </c>
      <c r="E89" s="20" t="s">
        <v>58</v>
      </c>
      <c r="F89" s="37">
        <v>133.44</v>
      </c>
      <c r="G89" s="20" t="s">
        <v>1112</v>
      </c>
      <c r="H89" s="20" t="s">
        <v>92</v>
      </c>
      <c r="I89" s="20" t="s">
        <v>208</v>
      </c>
      <c r="J89" s="20" t="s">
        <v>97</v>
      </c>
      <c r="K89" s="20" t="s">
        <v>98</v>
      </c>
      <c r="L89" s="20" t="s">
        <v>45</v>
      </c>
      <c r="M89" s="20" t="s">
        <v>1113</v>
      </c>
      <c r="N89" s="20" t="s">
        <v>64</v>
      </c>
    </row>
    <row r="90" ht="60.0" customHeight="1">
      <c r="A90" s="17" t="s">
        <v>367</v>
      </c>
      <c r="B90" s="17" t="s">
        <v>55</v>
      </c>
      <c r="C90" s="17" t="s">
        <v>820</v>
      </c>
      <c r="D90" s="17" t="s">
        <v>39</v>
      </c>
      <c r="E90" s="17" t="s">
        <v>40</v>
      </c>
      <c r="F90" s="36">
        <v>40.48</v>
      </c>
      <c r="G90" s="17" t="s">
        <v>821</v>
      </c>
      <c r="H90" s="17" t="s">
        <v>820</v>
      </c>
      <c r="I90" s="17" t="s">
        <v>822</v>
      </c>
      <c r="J90" s="17" t="s">
        <v>43</v>
      </c>
      <c r="K90" s="17" t="s">
        <v>823</v>
      </c>
      <c r="L90" s="17" t="s">
        <v>45</v>
      </c>
      <c r="M90" s="17" t="s">
        <v>824</v>
      </c>
      <c r="N90" s="17" t="s">
        <v>182</v>
      </c>
    </row>
    <row r="91" ht="60.0" customHeight="1">
      <c r="A91" s="20" t="s">
        <v>367</v>
      </c>
      <c r="B91" s="20" t="s">
        <v>55</v>
      </c>
      <c r="C91" s="20" t="s">
        <v>1122</v>
      </c>
      <c r="D91" s="20" t="s">
        <v>353</v>
      </c>
      <c r="E91" s="20" t="s">
        <v>354</v>
      </c>
      <c r="F91" s="37">
        <v>142.97</v>
      </c>
      <c r="G91" s="20" t="s">
        <v>1123</v>
      </c>
      <c r="H91" s="20" t="s">
        <v>1122</v>
      </c>
      <c r="I91" s="20" t="s">
        <v>1124</v>
      </c>
      <c r="J91" s="20" t="s">
        <v>305</v>
      </c>
      <c r="K91" s="20" t="s">
        <v>583</v>
      </c>
      <c r="L91" s="20" t="s">
        <v>45</v>
      </c>
      <c r="M91" s="20" t="s">
        <v>1125</v>
      </c>
      <c r="N91" s="20" t="s">
        <v>182</v>
      </c>
    </row>
    <row r="92" ht="60.0" customHeight="1">
      <c r="A92" s="17" t="s">
        <v>367</v>
      </c>
      <c r="B92" s="17" t="s">
        <v>55</v>
      </c>
      <c r="C92" s="17" t="s">
        <v>554</v>
      </c>
      <c r="D92" s="17" t="s">
        <v>353</v>
      </c>
      <c r="E92" s="17" t="s">
        <v>354</v>
      </c>
      <c r="F92" s="36">
        <v>25.35</v>
      </c>
      <c r="G92" s="17" t="s">
        <v>713</v>
      </c>
      <c r="H92" s="17" t="s">
        <v>554</v>
      </c>
      <c r="I92" s="17" t="s">
        <v>188</v>
      </c>
      <c r="J92" s="17" t="s">
        <v>189</v>
      </c>
      <c r="K92" s="17" t="s">
        <v>190</v>
      </c>
      <c r="L92" s="17" t="s">
        <v>45</v>
      </c>
      <c r="M92" s="17" t="s">
        <v>714</v>
      </c>
      <c r="N92" s="17" t="s">
        <v>64</v>
      </c>
    </row>
    <row r="93" ht="60.0" customHeight="1">
      <c r="A93" s="20" t="s">
        <v>367</v>
      </c>
      <c r="B93" s="20" t="s">
        <v>55</v>
      </c>
      <c r="C93" s="20" t="s">
        <v>554</v>
      </c>
      <c r="D93" s="20" t="s">
        <v>353</v>
      </c>
      <c r="E93" s="20" t="s">
        <v>354</v>
      </c>
      <c r="F93" s="37">
        <v>100.0</v>
      </c>
      <c r="G93" s="20" t="s">
        <v>1057</v>
      </c>
      <c r="H93" s="20" t="s">
        <v>554</v>
      </c>
      <c r="I93" s="20" t="s">
        <v>188</v>
      </c>
      <c r="J93" s="20" t="s">
        <v>189</v>
      </c>
      <c r="K93" s="20" t="s">
        <v>190</v>
      </c>
      <c r="L93" s="20" t="s">
        <v>45</v>
      </c>
      <c r="M93" s="20" t="s">
        <v>1058</v>
      </c>
      <c r="N93" s="20" t="s">
        <v>64</v>
      </c>
    </row>
    <row r="94" ht="60.0" customHeight="1">
      <c r="A94" s="17" t="s">
        <v>367</v>
      </c>
      <c r="B94" s="17" t="s">
        <v>55</v>
      </c>
      <c r="C94" s="17" t="s">
        <v>554</v>
      </c>
      <c r="D94" s="17" t="s">
        <v>353</v>
      </c>
      <c r="E94" s="17" t="s">
        <v>354</v>
      </c>
      <c r="F94" s="36">
        <v>100.0</v>
      </c>
      <c r="G94" s="17" t="s">
        <v>1059</v>
      </c>
      <c r="H94" s="17" t="s">
        <v>554</v>
      </c>
      <c r="I94" s="17" t="s">
        <v>188</v>
      </c>
      <c r="J94" s="17" t="s">
        <v>189</v>
      </c>
      <c r="K94" s="17" t="s">
        <v>190</v>
      </c>
      <c r="L94" s="17" t="s">
        <v>45</v>
      </c>
      <c r="M94" s="17" t="s">
        <v>1060</v>
      </c>
      <c r="N94" s="17" t="s">
        <v>64</v>
      </c>
    </row>
    <row r="95" ht="60.0" customHeight="1">
      <c r="A95" s="20" t="s">
        <v>367</v>
      </c>
      <c r="B95" s="20" t="s">
        <v>55</v>
      </c>
      <c r="C95" s="20" t="s">
        <v>1276</v>
      </c>
      <c r="D95" s="20" t="s">
        <v>39</v>
      </c>
      <c r="E95" s="20" t="s">
        <v>40</v>
      </c>
      <c r="F95" s="37">
        <v>262.17</v>
      </c>
      <c r="G95" s="20" t="s">
        <v>1277</v>
      </c>
      <c r="H95" s="20" t="s">
        <v>1276</v>
      </c>
      <c r="I95" s="20" t="s">
        <v>1278</v>
      </c>
      <c r="J95" s="20" t="s">
        <v>1279</v>
      </c>
      <c r="K95" s="20" t="s">
        <v>1280</v>
      </c>
      <c r="L95" s="20" t="s">
        <v>45</v>
      </c>
      <c r="M95" s="20" t="s">
        <v>1281</v>
      </c>
      <c r="N95" s="20" t="s">
        <v>182</v>
      </c>
    </row>
    <row r="96" ht="60.0" customHeight="1">
      <c r="A96" s="17" t="s">
        <v>367</v>
      </c>
      <c r="B96" s="17" t="s">
        <v>55</v>
      </c>
      <c r="C96" s="17" t="s">
        <v>593</v>
      </c>
      <c r="D96" s="17" t="s">
        <v>39</v>
      </c>
      <c r="E96" s="17" t="s">
        <v>40</v>
      </c>
      <c r="F96" s="36">
        <v>12.93</v>
      </c>
      <c r="G96" s="17" t="s">
        <v>594</v>
      </c>
      <c r="H96" s="17" t="s">
        <v>593</v>
      </c>
      <c r="I96" s="17" t="s">
        <v>595</v>
      </c>
      <c r="J96" s="17" t="s">
        <v>433</v>
      </c>
      <c r="K96" s="17" t="s">
        <v>434</v>
      </c>
      <c r="L96" s="17" t="s">
        <v>45</v>
      </c>
      <c r="M96" s="17" t="s">
        <v>596</v>
      </c>
      <c r="N96" s="17" t="s">
        <v>174</v>
      </c>
    </row>
    <row r="97" ht="60.0" customHeight="1">
      <c r="A97" s="20" t="s">
        <v>367</v>
      </c>
      <c r="B97" s="20" t="s">
        <v>55</v>
      </c>
      <c r="C97" s="20" t="s">
        <v>465</v>
      </c>
      <c r="D97" s="20" t="s">
        <v>127</v>
      </c>
      <c r="E97" s="20" t="s">
        <v>128</v>
      </c>
      <c r="F97" s="37">
        <v>406.92</v>
      </c>
      <c r="G97" s="20" t="s">
        <v>466</v>
      </c>
      <c r="H97" s="20" t="s">
        <v>465</v>
      </c>
      <c r="I97" s="20" t="s">
        <v>467</v>
      </c>
      <c r="J97" s="20" t="s">
        <v>142</v>
      </c>
      <c r="K97" s="20" t="s">
        <v>468</v>
      </c>
      <c r="L97" s="20" t="s">
        <v>45</v>
      </c>
      <c r="M97" s="20" t="s">
        <v>469</v>
      </c>
      <c r="N97" s="20" t="s">
        <v>308</v>
      </c>
    </row>
    <row r="98" ht="60.0" customHeight="1">
      <c r="A98" s="17" t="s">
        <v>367</v>
      </c>
      <c r="B98" s="17" t="s">
        <v>55</v>
      </c>
      <c r="C98" s="17" t="s">
        <v>465</v>
      </c>
      <c r="D98" s="17" t="s">
        <v>127</v>
      </c>
      <c r="E98" s="17" t="s">
        <v>128</v>
      </c>
      <c r="F98" s="36">
        <v>406.92</v>
      </c>
      <c r="G98" s="17" t="s">
        <v>470</v>
      </c>
      <c r="H98" s="17" t="s">
        <v>465</v>
      </c>
      <c r="I98" s="17" t="s">
        <v>467</v>
      </c>
      <c r="J98" s="17" t="s">
        <v>142</v>
      </c>
      <c r="K98" s="17" t="s">
        <v>468</v>
      </c>
      <c r="L98" s="17" t="s">
        <v>45</v>
      </c>
      <c r="M98" s="17" t="s">
        <v>471</v>
      </c>
      <c r="N98" s="17" t="s">
        <v>308</v>
      </c>
    </row>
    <row r="99" ht="60.0" customHeight="1">
      <c r="A99" s="20" t="s">
        <v>367</v>
      </c>
      <c r="B99" s="20" t="s">
        <v>55</v>
      </c>
      <c r="C99" s="20" t="s">
        <v>368</v>
      </c>
      <c r="D99" s="20" t="s">
        <v>39</v>
      </c>
      <c r="E99" s="20" t="s">
        <v>40</v>
      </c>
      <c r="F99" s="37">
        <v>31.58</v>
      </c>
      <c r="G99" s="20" t="s">
        <v>764</v>
      </c>
      <c r="H99" s="20" t="s">
        <v>368</v>
      </c>
      <c r="I99" s="20" t="s">
        <v>370</v>
      </c>
      <c r="J99" s="20" t="s">
        <v>371</v>
      </c>
      <c r="K99" s="20" t="s">
        <v>372</v>
      </c>
      <c r="L99" s="20" t="s">
        <v>45</v>
      </c>
      <c r="M99" s="20" t="s">
        <v>765</v>
      </c>
      <c r="N99" s="20" t="s">
        <v>182</v>
      </c>
    </row>
    <row r="100" ht="60.0" customHeight="1">
      <c r="A100" s="17" t="s">
        <v>367</v>
      </c>
      <c r="B100" s="17" t="s">
        <v>55</v>
      </c>
      <c r="C100" s="17" t="s">
        <v>368</v>
      </c>
      <c r="D100" s="17" t="s">
        <v>39</v>
      </c>
      <c r="E100" s="17" t="s">
        <v>40</v>
      </c>
      <c r="F100" s="36">
        <v>152.61</v>
      </c>
      <c r="G100" s="17" t="s">
        <v>369</v>
      </c>
      <c r="H100" s="17" t="s">
        <v>368</v>
      </c>
      <c r="I100" s="17" t="s">
        <v>370</v>
      </c>
      <c r="J100" s="17" t="s">
        <v>371</v>
      </c>
      <c r="K100" s="17" t="s">
        <v>372</v>
      </c>
      <c r="L100" s="17" t="s">
        <v>45</v>
      </c>
      <c r="M100" s="17" t="s">
        <v>373</v>
      </c>
      <c r="N100" s="17" t="s">
        <v>182</v>
      </c>
    </row>
    <row r="101" ht="60.0" customHeight="1">
      <c r="A101" s="20" t="s">
        <v>367</v>
      </c>
      <c r="B101" s="20" t="s">
        <v>55</v>
      </c>
      <c r="C101" s="20" t="s">
        <v>197</v>
      </c>
      <c r="D101" s="20" t="s">
        <v>39</v>
      </c>
      <c r="E101" s="20" t="s">
        <v>40</v>
      </c>
      <c r="F101" s="37">
        <v>40.0</v>
      </c>
      <c r="G101" s="20" t="s">
        <v>818</v>
      </c>
      <c r="H101" s="20" t="s">
        <v>197</v>
      </c>
      <c r="I101" s="20" t="s">
        <v>199</v>
      </c>
      <c r="J101" s="20" t="s">
        <v>200</v>
      </c>
      <c r="K101" s="20" t="s">
        <v>201</v>
      </c>
      <c r="L101" s="20" t="s">
        <v>45</v>
      </c>
      <c r="M101" s="20" t="s">
        <v>819</v>
      </c>
      <c r="N101" s="20" t="s">
        <v>64</v>
      </c>
    </row>
    <row r="102" ht="60.0" customHeight="1">
      <c r="A102" s="17" t="s">
        <v>367</v>
      </c>
      <c r="B102" s="17" t="s">
        <v>55</v>
      </c>
      <c r="C102" s="17" t="s">
        <v>587</v>
      </c>
      <c r="D102" s="17" t="s">
        <v>127</v>
      </c>
      <c r="E102" s="17" t="s">
        <v>128</v>
      </c>
      <c r="F102" s="36">
        <v>12.25</v>
      </c>
      <c r="G102" s="17" t="s">
        <v>588</v>
      </c>
      <c r="H102" s="17" t="s">
        <v>587</v>
      </c>
      <c r="I102" s="17" t="s">
        <v>589</v>
      </c>
      <c r="J102" s="17" t="s">
        <v>142</v>
      </c>
      <c r="K102" s="17" t="s">
        <v>166</v>
      </c>
      <c r="L102" s="17" t="s">
        <v>45</v>
      </c>
      <c r="M102" s="17" t="s">
        <v>590</v>
      </c>
      <c r="N102" s="17" t="s">
        <v>64</v>
      </c>
    </row>
    <row r="103" ht="60.0" customHeight="1">
      <c r="A103" s="20" t="s">
        <v>367</v>
      </c>
      <c r="B103" s="20" t="s">
        <v>55</v>
      </c>
      <c r="C103" s="20" t="s">
        <v>766</v>
      </c>
      <c r="D103" s="20" t="s">
        <v>127</v>
      </c>
      <c r="E103" s="20" t="s">
        <v>128</v>
      </c>
      <c r="F103" s="37">
        <v>44.7</v>
      </c>
      <c r="G103" s="20" t="s">
        <v>839</v>
      </c>
      <c r="H103" s="20" t="s">
        <v>766</v>
      </c>
      <c r="I103" s="20" t="s">
        <v>768</v>
      </c>
      <c r="J103" s="20" t="s">
        <v>142</v>
      </c>
      <c r="K103" s="20" t="s">
        <v>166</v>
      </c>
      <c r="L103" s="20" t="s">
        <v>45</v>
      </c>
      <c r="M103" s="20" t="s">
        <v>840</v>
      </c>
      <c r="N103" s="20" t="s">
        <v>74</v>
      </c>
    </row>
    <row r="104" ht="60.0" customHeight="1">
      <c r="A104" s="17" t="s">
        <v>196</v>
      </c>
      <c r="B104" s="17" t="s">
        <v>55</v>
      </c>
      <c r="C104" s="17" t="s">
        <v>84</v>
      </c>
      <c r="D104" s="17" t="s">
        <v>39</v>
      </c>
      <c r="E104" s="17" t="s">
        <v>40</v>
      </c>
      <c r="F104" s="36">
        <v>83.89</v>
      </c>
      <c r="G104" s="17" t="s">
        <v>269</v>
      </c>
      <c r="H104" s="17" t="s">
        <v>84</v>
      </c>
      <c r="I104" s="17" t="s">
        <v>86</v>
      </c>
      <c r="J104" s="17" t="s">
        <v>87</v>
      </c>
      <c r="K104" s="17" t="s">
        <v>88</v>
      </c>
      <c r="L104" s="17" t="s">
        <v>45</v>
      </c>
      <c r="M104" s="17" t="s">
        <v>270</v>
      </c>
      <c r="N104" s="17" t="s">
        <v>90</v>
      </c>
    </row>
    <row r="105" ht="60.0" customHeight="1">
      <c r="A105" s="20" t="s">
        <v>196</v>
      </c>
      <c r="B105" s="20" t="s">
        <v>55</v>
      </c>
      <c r="C105" s="20" t="s">
        <v>610</v>
      </c>
      <c r="D105" s="20" t="s">
        <v>149</v>
      </c>
      <c r="E105" s="20" t="s">
        <v>150</v>
      </c>
      <c r="F105" s="37">
        <v>13.77</v>
      </c>
      <c r="G105" s="20" t="s">
        <v>611</v>
      </c>
      <c r="H105" s="20" t="s">
        <v>610</v>
      </c>
      <c r="I105" s="20" t="s">
        <v>612</v>
      </c>
      <c r="J105" s="20" t="s">
        <v>613</v>
      </c>
      <c r="K105" s="20" t="s">
        <v>614</v>
      </c>
      <c r="L105" s="20" t="s">
        <v>45</v>
      </c>
      <c r="M105" s="20" t="s">
        <v>615</v>
      </c>
      <c r="N105" s="20" t="s">
        <v>122</v>
      </c>
    </row>
    <row r="106" ht="60.0" customHeight="1">
      <c r="A106" s="17" t="s">
        <v>196</v>
      </c>
      <c r="B106" s="17" t="s">
        <v>55</v>
      </c>
      <c r="C106" s="17" t="s">
        <v>92</v>
      </c>
      <c r="D106" s="17" t="s">
        <v>127</v>
      </c>
      <c r="E106" s="17" t="s">
        <v>128</v>
      </c>
      <c r="F106" s="36">
        <v>12.96</v>
      </c>
      <c r="G106" s="17" t="s">
        <v>597</v>
      </c>
      <c r="H106" s="17" t="s">
        <v>92</v>
      </c>
      <c r="I106" s="17" t="s">
        <v>96</v>
      </c>
      <c r="J106" s="17" t="s">
        <v>97</v>
      </c>
      <c r="K106" s="17" t="s">
        <v>98</v>
      </c>
      <c r="L106" s="17" t="s">
        <v>45</v>
      </c>
      <c r="M106" s="17" t="s">
        <v>598</v>
      </c>
      <c r="N106" s="17" t="s">
        <v>64</v>
      </c>
    </row>
    <row r="107" ht="60.0" customHeight="1">
      <c r="A107" s="20" t="s">
        <v>196</v>
      </c>
      <c r="B107" s="20" t="s">
        <v>55</v>
      </c>
      <c r="C107" s="20" t="s">
        <v>374</v>
      </c>
      <c r="D107" s="20" t="s">
        <v>57</v>
      </c>
      <c r="E107" s="20" t="s">
        <v>58</v>
      </c>
      <c r="F107" s="37">
        <v>156.93</v>
      </c>
      <c r="G107" s="20" t="s">
        <v>375</v>
      </c>
      <c r="H107" s="20" t="s">
        <v>374</v>
      </c>
      <c r="I107" s="20" t="s">
        <v>376</v>
      </c>
      <c r="J107" s="20" t="s">
        <v>142</v>
      </c>
      <c r="K107" s="20" t="s">
        <v>166</v>
      </c>
      <c r="L107" s="20" t="s">
        <v>45</v>
      </c>
      <c r="M107" s="20" t="s">
        <v>377</v>
      </c>
      <c r="N107" s="20" t="s">
        <v>74</v>
      </c>
    </row>
    <row r="108" ht="60.0" customHeight="1">
      <c r="A108" s="17" t="s">
        <v>196</v>
      </c>
      <c r="B108" s="17" t="s">
        <v>55</v>
      </c>
      <c r="C108" s="17" t="s">
        <v>1318</v>
      </c>
      <c r="D108" s="17" t="s">
        <v>39</v>
      </c>
      <c r="E108" s="17" t="s">
        <v>40</v>
      </c>
      <c r="F108" s="36">
        <v>339.9</v>
      </c>
      <c r="G108" s="17" t="s">
        <v>1319</v>
      </c>
      <c r="H108" s="17" t="s">
        <v>1318</v>
      </c>
      <c r="I108" s="17" t="s">
        <v>1320</v>
      </c>
      <c r="J108" s="17" t="s">
        <v>1321</v>
      </c>
      <c r="K108" s="17" t="s">
        <v>1322</v>
      </c>
      <c r="L108" s="17" t="s">
        <v>45</v>
      </c>
      <c r="M108" s="17" t="s">
        <v>1323</v>
      </c>
      <c r="N108" s="17" t="s">
        <v>74</v>
      </c>
    </row>
    <row r="109" ht="60.0" customHeight="1">
      <c r="A109" s="20" t="s">
        <v>196</v>
      </c>
      <c r="B109" s="20" t="s">
        <v>55</v>
      </c>
      <c r="C109" s="20" t="s">
        <v>1302</v>
      </c>
      <c r="D109" s="20" t="s">
        <v>353</v>
      </c>
      <c r="E109" s="20" t="s">
        <v>354</v>
      </c>
      <c r="F109" s="37">
        <v>299.81</v>
      </c>
      <c r="G109" s="20" t="s">
        <v>1303</v>
      </c>
      <c r="H109" s="20" t="s">
        <v>1302</v>
      </c>
      <c r="I109" s="20" t="s">
        <v>1304</v>
      </c>
      <c r="J109" s="20" t="s">
        <v>1305</v>
      </c>
      <c r="K109" s="20" t="s">
        <v>1306</v>
      </c>
      <c r="L109" s="20" t="s">
        <v>45</v>
      </c>
      <c r="M109" s="20" t="s">
        <v>1307</v>
      </c>
      <c r="N109" s="20" t="s">
        <v>1144</v>
      </c>
    </row>
    <row r="110" ht="60.0" customHeight="1">
      <c r="A110" s="17" t="s">
        <v>196</v>
      </c>
      <c r="B110" s="17" t="s">
        <v>378</v>
      </c>
      <c r="C110" s="17" t="s">
        <v>805</v>
      </c>
      <c r="D110" s="17" t="s">
        <v>39</v>
      </c>
      <c r="E110" s="17" t="s">
        <v>40</v>
      </c>
      <c r="F110" s="36">
        <v>37.97</v>
      </c>
      <c r="G110" s="17" t="s">
        <v>806</v>
      </c>
      <c r="H110" s="17" t="s">
        <v>805</v>
      </c>
      <c r="I110" s="17" t="s">
        <v>807</v>
      </c>
      <c r="J110" s="17" t="s">
        <v>433</v>
      </c>
      <c r="K110" s="17" t="s">
        <v>434</v>
      </c>
      <c r="L110" s="17" t="s">
        <v>45</v>
      </c>
      <c r="M110" s="17" t="s">
        <v>808</v>
      </c>
      <c r="N110" s="17" t="s">
        <v>502</v>
      </c>
    </row>
    <row r="111" ht="60.0" customHeight="1">
      <c r="A111" s="20" t="s">
        <v>196</v>
      </c>
      <c r="B111" s="20" t="s">
        <v>55</v>
      </c>
      <c r="C111" s="20" t="s">
        <v>554</v>
      </c>
      <c r="D111" s="20" t="s">
        <v>353</v>
      </c>
      <c r="E111" s="20" t="s">
        <v>354</v>
      </c>
      <c r="F111" s="37">
        <v>25.22</v>
      </c>
      <c r="G111" s="20" t="s">
        <v>711</v>
      </c>
      <c r="H111" s="20" t="s">
        <v>554</v>
      </c>
      <c r="I111" s="20" t="s">
        <v>188</v>
      </c>
      <c r="J111" s="20" t="s">
        <v>189</v>
      </c>
      <c r="K111" s="20" t="s">
        <v>190</v>
      </c>
      <c r="L111" s="20" t="s">
        <v>45</v>
      </c>
      <c r="M111" s="20" t="s">
        <v>712</v>
      </c>
      <c r="N111" s="20" t="s">
        <v>64</v>
      </c>
    </row>
    <row r="112" ht="60.0" customHeight="1">
      <c r="A112" s="17" t="s">
        <v>196</v>
      </c>
      <c r="B112" s="17" t="s">
        <v>55</v>
      </c>
      <c r="C112" s="17" t="s">
        <v>554</v>
      </c>
      <c r="D112" s="17" t="s">
        <v>353</v>
      </c>
      <c r="E112" s="17" t="s">
        <v>354</v>
      </c>
      <c r="F112" s="36">
        <v>100.0</v>
      </c>
      <c r="G112" s="17" t="s">
        <v>1055</v>
      </c>
      <c r="H112" s="17" t="s">
        <v>554</v>
      </c>
      <c r="I112" s="17" t="s">
        <v>188</v>
      </c>
      <c r="J112" s="17" t="s">
        <v>189</v>
      </c>
      <c r="K112" s="17" t="s">
        <v>190</v>
      </c>
      <c r="L112" s="17" t="s">
        <v>45</v>
      </c>
      <c r="M112" s="17" t="s">
        <v>1056</v>
      </c>
      <c r="N112" s="17" t="s">
        <v>64</v>
      </c>
    </row>
    <row r="113" ht="60.0" customHeight="1">
      <c r="A113" s="20" t="s">
        <v>196</v>
      </c>
      <c r="B113" s="20" t="s">
        <v>55</v>
      </c>
      <c r="C113" s="20" t="s">
        <v>554</v>
      </c>
      <c r="D113" s="20" t="s">
        <v>353</v>
      </c>
      <c r="E113" s="20" t="s">
        <v>354</v>
      </c>
      <c r="F113" s="37">
        <v>100.0</v>
      </c>
      <c r="G113" s="20" t="s">
        <v>1067</v>
      </c>
      <c r="H113" s="20" t="s">
        <v>554</v>
      </c>
      <c r="I113" s="20" t="s">
        <v>188</v>
      </c>
      <c r="J113" s="20" t="s">
        <v>189</v>
      </c>
      <c r="K113" s="20" t="s">
        <v>190</v>
      </c>
      <c r="L113" s="20" t="s">
        <v>45</v>
      </c>
      <c r="M113" s="20" t="s">
        <v>1068</v>
      </c>
      <c r="N113" s="20" t="s">
        <v>64</v>
      </c>
    </row>
    <row r="114" ht="60.0" customHeight="1">
      <c r="A114" s="17" t="s">
        <v>196</v>
      </c>
      <c r="B114" s="17" t="s">
        <v>55</v>
      </c>
      <c r="C114" s="17" t="s">
        <v>644</v>
      </c>
      <c r="D114" s="17" t="s">
        <v>93</v>
      </c>
      <c r="E114" s="17" t="s">
        <v>94</v>
      </c>
      <c r="F114" s="36">
        <v>16.64</v>
      </c>
      <c r="G114" s="17" t="s">
        <v>645</v>
      </c>
      <c r="H114" s="17" t="s">
        <v>644</v>
      </c>
      <c r="I114" s="17" t="s">
        <v>646</v>
      </c>
      <c r="J114" s="17" t="s">
        <v>647</v>
      </c>
      <c r="K114" s="17" t="s">
        <v>648</v>
      </c>
      <c r="L114" s="17" t="s">
        <v>45</v>
      </c>
      <c r="M114" s="17" t="s">
        <v>649</v>
      </c>
      <c r="N114" s="17" t="s">
        <v>74</v>
      </c>
    </row>
    <row r="115" ht="60.0" customHeight="1">
      <c r="A115" s="20" t="s">
        <v>196</v>
      </c>
      <c r="B115" s="20" t="s">
        <v>55</v>
      </c>
      <c r="C115" s="20" t="s">
        <v>1276</v>
      </c>
      <c r="D115" s="20" t="s">
        <v>39</v>
      </c>
      <c r="E115" s="20" t="s">
        <v>40</v>
      </c>
      <c r="F115" s="37">
        <v>331.07</v>
      </c>
      <c r="G115" s="20" t="s">
        <v>1316</v>
      </c>
      <c r="H115" s="20" t="s">
        <v>1276</v>
      </c>
      <c r="I115" s="20" t="s">
        <v>1278</v>
      </c>
      <c r="J115" s="20" t="s">
        <v>1279</v>
      </c>
      <c r="K115" s="20" t="s">
        <v>1280</v>
      </c>
      <c r="L115" s="20" t="s">
        <v>45</v>
      </c>
      <c r="M115" s="20" t="s">
        <v>1317</v>
      </c>
      <c r="N115" s="20" t="s">
        <v>182</v>
      </c>
    </row>
    <row r="116" ht="60.0" customHeight="1">
      <c r="A116" s="17" t="s">
        <v>196</v>
      </c>
      <c r="B116" s="17" t="s">
        <v>55</v>
      </c>
      <c r="C116" s="17" t="s">
        <v>655</v>
      </c>
      <c r="D116" s="17" t="s">
        <v>39</v>
      </c>
      <c r="E116" s="17" t="s">
        <v>40</v>
      </c>
      <c r="F116" s="36">
        <v>94.74</v>
      </c>
      <c r="G116" s="17" t="s">
        <v>1028</v>
      </c>
      <c r="H116" s="17" t="s">
        <v>655</v>
      </c>
      <c r="I116" s="17" t="s">
        <v>657</v>
      </c>
      <c r="J116" s="17" t="s">
        <v>371</v>
      </c>
      <c r="K116" s="17" t="s">
        <v>372</v>
      </c>
      <c r="L116" s="17" t="s">
        <v>45</v>
      </c>
      <c r="M116" s="17" t="s">
        <v>1029</v>
      </c>
      <c r="N116" s="17" t="s">
        <v>174</v>
      </c>
    </row>
    <row r="117" ht="60.0" customHeight="1">
      <c r="A117" s="20" t="s">
        <v>196</v>
      </c>
      <c r="B117" s="20" t="s">
        <v>55</v>
      </c>
      <c r="C117" s="20" t="s">
        <v>424</v>
      </c>
      <c r="D117" s="20" t="s">
        <v>149</v>
      </c>
      <c r="E117" s="20" t="s">
        <v>150</v>
      </c>
      <c r="F117" s="37">
        <v>232.06</v>
      </c>
      <c r="G117" s="20" t="s">
        <v>425</v>
      </c>
      <c r="H117" s="20" t="s">
        <v>424</v>
      </c>
      <c r="I117" s="20" t="s">
        <v>426</v>
      </c>
      <c r="J117" s="20" t="s">
        <v>427</v>
      </c>
      <c r="K117" s="20" t="s">
        <v>428</v>
      </c>
      <c r="L117" s="20" t="s">
        <v>45</v>
      </c>
      <c r="M117" s="20" t="s">
        <v>429</v>
      </c>
      <c r="N117" s="20" t="s">
        <v>64</v>
      </c>
    </row>
    <row r="118" ht="60.0" customHeight="1">
      <c r="A118" s="17" t="s">
        <v>196</v>
      </c>
      <c r="B118" s="17" t="s">
        <v>55</v>
      </c>
      <c r="C118" s="17" t="s">
        <v>799</v>
      </c>
      <c r="D118" s="17" t="s">
        <v>39</v>
      </c>
      <c r="E118" s="17" t="s">
        <v>40</v>
      </c>
      <c r="F118" s="36">
        <v>37.85</v>
      </c>
      <c r="G118" s="17" t="s">
        <v>800</v>
      </c>
      <c r="H118" s="17" t="s">
        <v>799</v>
      </c>
      <c r="I118" s="17" t="s">
        <v>801</v>
      </c>
      <c r="J118" s="17" t="s">
        <v>802</v>
      </c>
      <c r="K118" s="17" t="s">
        <v>803</v>
      </c>
      <c r="L118" s="17" t="s">
        <v>45</v>
      </c>
      <c r="M118" s="17" t="s">
        <v>804</v>
      </c>
      <c r="N118" s="17" t="s">
        <v>64</v>
      </c>
    </row>
    <row r="119" ht="60.0" customHeight="1">
      <c r="A119" s="20" t="s">
        <v>196</v>
      </c>
      <c r="B119" s="20" t="s">
        <v>55</v>
      </c>
      <c r="C119" s="20" t="s">
        <v>760</v>
      </c>
      <c r="D119" s="20" t="s">
        <v>39</v>
      </c>
      <c r="E119" s="20" t="s">
        <v>40</v>
      </c>
      <c r="F119" s="37">
        <v>31.0</v>
      </c>
      <c r="G119" s="20" t="s">
        <v>761</v>
      </c>
      <c r="H119" s="20" t="s">
        <v>760</v>
      </c>
      <c r="I119" s="20" t="s">
        <v>762</v>
      </c>
      <c r="J119" s="20" t="s">
        <v>43</v>
      </c>
      <c r="K119" s="20" t="s">
        <v>44</v>
      </c>
      <c r="L119" s="20" t="s">
        <v>45</v>
      </c>
      <c r="M119" s="20" t="s">
        <v>763</v>
      </c>
      <c r="N119" s="20" t="s">
        <v>64</v>
      </c>
    </row>
    <row r="120" ht="60.0" customHeight="1">
      <c r="A120" s="17" t="s">
        <v>196</v>
      </c>
      <c r="B120" s="17" t="s">
        <v>55</v>
      </c>
      <c r="C120" s="17" t="s">
        <v>754</v>
      </c>
      <c r="D120" s="17" t="s">
        <v>39</v>
      </c>
      <c r="E120" s="17" t="s">
        <v>40</v>
      </c>
      <c r="F120" s="36">
        <v>30.0</v>
      </c>
      <c r="G120" s="17" t="s">
        <v>755</v>
      </c>
      <c r="H120" s="17" t="s">
        <v>754</v>
      </c>
      <c r="I120" s="17" t="s">
        <v>756</v>
      </c>
      <c r="J120" s="17" t="s">
        <v>757</v>
      </c>
      <c r="K120" s="17" t="s">
        <v>758</v>
      </c>
      <c r="L120" s="17" t="s">
        <v>45</v>
      </c>
      <c r="M120" s="17" t="s">
        <v>759</v>
      </c>
      <c r="N120" s="17" t="s">
        <v>64</v>
      </c>
    </row>
    <row r="121" ht="60.0" customHeight="1">
      <c r="A121" s="20" t="s">
        <v>196</v>
      </c>
      <c r="B121" s="20" t="s">
        <v>55</v>
      </c>
      <c r="C121" s="20" t="s">
        <v>754</v>
      </c>
      <c r="D121" s="20" t="s">
        <v>39</v>
      </c>
      <c r="E121" s="20" t="s">
        <v>40</v>
      </c>
      <c r="F121" s="37">
        <v>87.0</v>
      </c>
      <c r="G121" s="20" t="s">
        <v>1016</v>
      </c>
      <c r="H121" s="20" t="s">
        <v>754</v>
      </c>
      <c r="I121" s="20" t="s">
        <v>756</v>
      </c>
      <c r="J121" s="20" t="s">
        <v>757</v>
      </c>
      <c r="K121" s="20" t="s">
        <v>758</v>
      </c>
      <c r="L121" s="20" t="s">
        <v>45</v>
      </c>
      <c r="M121" s="20" t="s">
        <v>1017</v>
      </c>
      <c r="N121" s="20" t="s">
        <v>64</v>
      </c>
    </row>
    <row r="122" ht="60.0" customHeight="1">
      <c r="A122" s="17" t="s">
        <v>196</v>
      </c>
      <c r="B122" s="17" t="s">
        <v>55</v>
      </c>
      <c r="C122" s="17" t="s">
        <v>680</v>
      </c>
      <c r="D122" s="17" t="s">
        <v>127</v>
      </c>
      <c r="E122" s="17" t="s">
        <v>128</v>
      </c>
      <c r="F122" s="36">
        <v>22.17</v>
      </c>
      <c r="G122" s="17" t="s">
        <v>681</v>
      </c>
      <c r="H122" s="17" t="s">
        <v>680</v>
      </c>
      <c r="I122" s="17" t="s">
        <v>682</v>
      </c>
      <c r="J122" s="17" t="s">
        <v>142</v>
      </c>
      <c r="K122" s="17" t="s">
        <v>166</v>
      </c>
      <c r="L122" s="17" t="s">
        <v>45</v>
      </c>
      <c r="M122" s="17" t="s">
        <v>683</v>
      </c>
      <c r="N122" s="17" t="s">
        <v>122</v>
      </c>
    </row>
    <row r="123" ht="60.0" customHeight="1">
      <c r="A123" s="20" t="s">
        <v>196</v>
      </c>
      <c r="B123" s="20" t="s">
        <v>55</v>
      </c>
      <c r="C123" s="20" t="s">
        <v>368</v>
      </c>
      <c r="D123" s="20" t="s">
        <v>39</v>
      </c>
      <c r="E123" s="20" t="s">
        <v>40</v>
      </c>
      <c r="F123" s="37">
        <v>82.11</v>
      </c>
      <c r="G123" s="20" t="s">
        <v>999</v>
      </c>
      <c r="H123" s="20" t="s">
        <v>368</v>
      </c>
      <c r="I123" s="20" t="s">
        <v>370</v>
      </c>
      <c r="J123" s="20" t="s">
        <v>371</v>
      </c>
      <c r="K123" s="20" t="s">
        <v>372</v>
      </c>
      <c r="L123" s="20" t="s">
        <v>45</v>
      </c>
      <c r="M123" s="20" t="s">
        <v>1000</v>
      </c>
      <c r="N123" s="20" t="s">
        <v>182</v>
      </c>
    </row>
    <row r="124" ht="60.0" customHeight="1">
      <c r="A124" s="17" t="s">
        <v>196</v>
      </c>
      <c r="B124" s="17" t="s">
        <v>55</v>
      </c>
      <c r="C124" s="17" t="s">
        <v>970</v>
      </c>
      <c r="D124" s="17" t="s">
        <v>93</v>
      </c>
      <c r="E124" s="17" t="s">
        <v>94</v>
      </c>
      <c r="F124" s="36">
        <v>71.87</v>
      </c>
      <c r="G124" s="17" t="s">
        <v>971</v>
      </c>
      <c r="H124" s="17" t="s">
        <v>970</v>
      </c>
      <c r="I124" s="17" t="s">
        <v>972</v>
      </c>
      <c r="J124" s="17" t="s">
        <v>613</v>
      </c>
      <c r="K124" s="17" t="s">
        <v>614</v>
      </c>
      <c r="L124" s="17" t="s">
        <v>45</v>
      </c>
      <c r="M124" s="17" t="s">
        <v>973</v>
      </c>
      <c r="N124" s="17" t="s">
        <v>502</v>
      </c>
    </row>
    <row r="125" ht="60.0" customHeight="1">
      <c r="A125" s="20" t="s">
        <v>196</v>
      </c>
      <c r="B125" s="20" t="s">
        <v>55</v>
      </c>
      <c r="C125" s="20" t="s">
        <v>197</v>
      </c>
      <c r="D125" s="20" t="s">
        <v>39</v>
      </c>
      <c r="E125" s="20" t="s">
        <v>40</v>
      </c>
      <c r="F125" s="37">
        <v>34.29</v>
      </c>
      <c r="G125" s="20" t="s">
        <v>198</v>
      </c>
      <c r="H125" s="20" t="s">
        <v>197</v>
      </c>
      <c r="I125" s="20" t="s">
        <v>199</v>
      </c>
      <c r="J125" s="20" t="s">
        <v>200</v>
      </c>
      <c r="K125" s="20" t="s">
        <v>201</v>
      </c>
      <c r="L125" s="20" t="s">
        <v>45</v>
      </c>
      <c r="M125" s="20" t="s">
        <v>202</v>
      </c>
      <c r="N125" s="20" t="s">
        <v>64</v>
      </c>
    </row>
    <row r="126" ht="60.0" customHeight="1">
      <c r="A126" s="17" t="s">
        <v>196</v>
      </c>
      <c r="B126" s="17" t="s">
        <v>55</v>
      </c>
      <c r="C126" s="17" t="s">
        <v>197</v>
      </c>
      <c r="D126" s="17" t="s">
        <v>39</v>
      </c>
      <c r="E126" s="17" t="s">
        <v>40</v>
      </c>
      <c r="F126" s="36">
        <v>67.24</v>
      </c>
      <c r="G126" s="17" t="s">
        <v>940</v>
      </c>
      <c r="H126" s="17" t="s">
        <v>197</v>
      </c>
      <c r="I126" s="17" t="s">
        <v>199</v>
      </c>
      <c r="J126" s="17" t="s">
        <v>200</v>
      </c>
      <c r="K126" s="17" t="s">
        <v>201</v>
      </c>
      <c r="L126" s="17" t="s">
        <v>45</v>
      </c>
      <c r="M126" s="17" t="s">
        <v>941</v>
      </c>
      <c r="N126" s="17" t="s">
        <v>64</v>
      </c>
    </row>
    <row r="127" ht="60.0" customHeight="1">
      <c r="A127" s="20" t="s">
        <v>196</v>
      </c>
      <c r="B127" s="20" t="s">
        <v>55</v>
      </c>
      <c r="C127" s="20" t="s">
        <v>704</v>
      </c>
      <c r="D127" s="20" t="s">
        <v>353</v>
      </c>
      <c r="E127" s="20" t="s">
        <v>354</v>
      </c>
      <c r="F127" s="37">
        <v>25.0</v>
      </c>
      <c r="G127" s="20" t="s">
        <v>705</v>
      </c>
      <c r="H127" s="20" t="s">
        <v>704</v>
      </c>
      <c r="I127" s="20" t="s">
        <v>706</v>
      </c>
      <c r="J127" s="20" t="s">
        <v>707</v>
      </c>
      <c r="K127" s="20" t="s">
        <v>708</v>
      </c>
      <c r="L127" s="20" t="s">
        <v>45</v>
      </c>
      <c r="M127" s="20" t="s">
        <v>709</v>
      </c>
      <c r="N127" s="20" t="s">
        <v>64</v>
      </c>
    </row>
    <row r="128" ht="60.0" customHeight="1">
      <c r="A128" s="17" t="s">
        <v>91</v>
      </c>
      <c r="B128" s="17" t="s">
        <v>55</v>
      </c>
      <c r="C128" s="17" t="s">
        <v>873</v>
      </c>
      <c r="D128" s="17" t="s">
        <v>149</v>
      </c>
      <c r="E128" s="17" t="s">
        <v>150</v>
      </c>
      <c r="F128" s="36">
        <v>49.98</v>
      </c>
      <c r="G128" s="17" t="s">
        <v>874</v>
      </c>
      <c r="H128" s="17" t="s">
        <v>873</v>
      </c>
      <c r="I128" s="17" t="s">
        <v>279</v>
      </c>
      <c r="J128" s="17" t="s">
        <v>280</v>
      </c>
      <c r="K128" s="17" t="s">
        <v>281</v>
      </c>
      <c r="L128" s="17" t="s">
        <v>45</v>
      </c>
      <c r="M128" s="17" t="s">
        <v>875</v>
      </c>
      <c r="N128" s="17" t="s">
        <v>64</v>
      </c>
    </row>
    <row r="129" ht="60.0" customHeight="1">
      <c r="A129" s="20" t="s">
        <v>91</v>
      </c>
      <c r="B129" s="20" t="s">
        <v>55</v>
      </c>
      <c r="C129" s="20" t="s">
        <v>157</v>
      </c>
      <c r="D129" s="20" t="s">
        <v>93</v>
      </c>
      <c r="E129" s="20" t="s">
        <v>94</v>
      </c>
      <c r="F129" s="37">
        <v>223.12</v>
      </c>
      <c r="G129" s="20" t="s">
        <v>409</v>
      </c>
      <c r="H129" s="20" t="s">
        <v>159</v>
      </c>
      <c r="I129" s="20" t="s">
        <v>86</v>
      </c>
      <c r="J129" s="20" t="s">
        <v>87</v>
      </c>
      <c r="K129" s="20" t="s">
        <v>88</v>
      </c>
      <c r="L129" s="20" t="s">
        <v>45</v>
      </c>
      <c r="M129" s="20" t="s">
        <v>410</v>
      </c>
      <c r="N129" s="20" t="s">
        <v>90</v>
      </c>
    </row>
    <row r="130" ht="60.0" customHeight="1">
      <c r="A130" s="17" t="s">
        <v>91</v>
      </c>
      <c r="B130" s="17" t="s">
        <v>55</v>
      </c>
      <c r="C130" s="17" t="s">
        <v>1338</v>
      </c>
      <c r="D130" s="17" t="s">
        <v>39</v>
      </c>
      <c r="E130" s="17" t="s">
        <v>40</v>
      </c>
      <c r="F130" s="36">
        <v>414.72</v>
      </c>
      <c r="G130" s="17" t="s">
        <v>1343</v>
      </c>
      <c r="H130" s="17" t="s">
        <v>1338</v>
      </c>
      <c r="I130" s="17" t="s">
        <v>1340</v>
      </c>
      <c r="J130" s="17" t="s">
        <v>371</v>
      </c>
      <c r="K130" s="17" t="s">
        <v>1341</v>
      </c>
      <c r="L130" s="17" t="s">
        <v>45</v>
      </c>
      <c r="M130" s="17" t="s">
        <v>1344</v>
      </c>
      <c r="N130" s="17" t="s">
        <v>308</v>
      </c>
    </row>
    <row r="131" ht="60.0" customHeight="1">
      <c r="A131" s="20" t="s">
        <v>91</v>
      </c>
      <c r="B131" s="20" t="s">
        <v>55</v>
      </c>
      <c r="C131" s="20" t="s">
        <v>809</v>
      </c>
      <c r="D131" s="20" t="s">
        <v>39</v>
      </c>
      <c r="E131" s="20" t="s">
        <v>40</v>
      </c>
      <c r="F131" s="37">
        <v>41.0</v>
      </c>
      <c r="G131" s="20" t="s">
        <v>825</v>
      </c>
      <c r="H131" s="20" t="s">
        <v>809</v>
      </c>
      <c r="I131" s="20" t="s">
        <v>60</v>
      </c>
      <c r="J131" s="20" t="s">
        <v>61</v>
      </c>
      <c r="K131" s="20" t="s">
        <v>62</v>
      </c>
      <c r="L131" s="20" t="s">
        <v>45</v>
      </c>
      <c r="M131" s="20" t="s">
        <v>826</v>
      </c>
      <c r="N131" s="20" t="s">
        <v>64</v>
      </c>
    </row>
    <row r="132" ht="60.0" customHeight="1">
      <c r="A132" s="17" t="s">
        <v>91</v>
      </c>
      <c r="B132" s="17" t="s">
        <v>55</v>
      </c>
      <c r="C132" s="17" t="s">
        <v>809</v>
      </c>
      <c r="D132" s="17" t="s">
        <v>39</v>
      </c>
      <c r="E132" s="17" t="s">
        <v>40</v>
      </c>
      <c r="F132" s="36">
        <v>55.75</v>
      </c>
      <c r="G132" s="17" t="s">
        <v>905</v>
      </c>
      <c r="H132" s="17" t="s">
        <v>809</v>
      </c>
      <c r="I132" s="17" t="s">
        <v>60</v>
      </c>
      <c r="J132" s="17" t="s">
        <v>61</v>
      </c>
      <c r="K132" s="17" t="s">
        <v>62</v>
      </c>
      <c r="L132" s="17" t="s">
        <v>45</v>
      </c>
      <c r="M132" s="17" t="s">
        <v>906</v>
      </c>
      <c r="N132" s="17" t="s">
        <v>64</v>
      </c>
    </row>
    <row r="133" ht="60.0" customHeight="1">
      <c r="A133" s="20" t="s">
        <v>91</v>
      </c>
      <c r="B133" s="20" t="s">
        <v>55</v>
      </c>
      <c r="C133" s="20" t="s">
        <v>809</v>
      </c>
      <c r="D133" s="20" t="s">
        <v>39</v>
      </c>
      <c r="E133" s="20" t="s">
        <v>40</v>
      </c>
      <c r="F133" s="37">
        <v>57.75</v>
      </c>
      <c r="G133" s="20" t="s">
        <v>916</v>
      </c>
      <c r="H133" s="20" t="s">
        <v>809</v>
      </c>
      <c r="I133" s="20" t="s">
        <v>60</v>
      </c>
      <c r="J133" s="20" t="s">
        <v>61</v>
      </c>
      <c r="K133" s="20" t="s">
        <v>62</v>
      </c>
      <c r="L133" s="20" t="s">
        <v>45</v>
      </c>
      <c r="M133" s="20" t="s">
        <v>917</v>
      </c>
      <c r="N133" s="20" t="s">
        <v>64</v>
      </c>
    </row>
    <row r="134" ht="60.0" customHeight="1">
      <c r="A134" s="17" t="s">
        <v>91</v>
      </c>
      <c r="B134" s="17" t="s">
        <v>55</v>
      </c>
      <c r="C134" s="17" t="s">
        <v>163</v>
      </c>
      <c r="D134" s="17" t="s">
        <v>127</v>
      </c>
      <c r="E134" s="17" t="s">
        <v>128</v>
      </c>
      <c r="F134" s="36">
        <v>22.03</v>
      </c>
      <c r="G134" s="17" t="s">
        <v>164</v>
      </c>
      <c r="H134" s="17" t="s">
        <v>163</v>
      </c>
      <c r="I134" s="17" t="s">
        <v>165</v>
      </c>
      <c r="J134" s="17" t="s">
        <v>142</v>
      </c>
      <c r="K134" s="17" t="s">
        <v>166</v>
      </c>
      <c r="L134" s="17" t="s">
        <v>45</v>
      </c>
      <c r="M134" s="17" t="s">
        <v>167</v>
      </c>
      <c r="N134" s="17" t="s">
        <v>114</v>
      </c>
    </row>
    <row r="135" ht="60.0" customHeight="1">
      <c r="A135" s="20" t="s">
        <v>91</v>
      </c>
      <c r="B135" s="20" t="s">
        <v>55</v>
      </c>
      <c r="C135" s="20" t="s">
        <v>92</v>
      </c>
      <c r="D135" s="20" t="s">
        <v>93</v>
      </c>
      <c r="E135" s="20" t="s">
        <v>94</v>
      </c>
      <c r="F135" s="37">
        <v>7.4</v>
      </c>
      <c r="G135" s="20" t="s">
        <v>95</v>
      </c>
      <c r="H135" s="20" t="s">
        <v>92</v>
      </c>
      <c r="I135" s="20" t="s">
        <v>96</v>
      </c>
      <c r="J135" s="20" t="s">
        <v>97</v>
      </c>
      <c r="K135" s="20" t="s">
        <v>98</v>
      </c>
      <c r="L135" s="20" t="s">
        <v>45</v>
      </c>
      <c r="M135" s="20" t="s">
        <v>99</v>
      </c>
      <c r="N135" s="20" t="s">
        <v>64</v>
      </c>
    </row>
    <row r="136" ht="60.0" customHeight="1">
      <c r="A136" s="17" t="s">
        <v>91</v>
      </c>
      <c r="B136" s="17" t="s">
        <v>55</v>
      </c>
      <c r="C136" s="17" t="s">
        <v>92</v>
      </c>
      <c r="D136" s="17" t="s">
        <v>93</v>
      </c>
      <c r="E136" s="17" t="s">
        <v>94</v>
      </c>
      <c r="F136" s="36">
        <v>105.91</v>
      </c>
      <c r="G136" s="17" t="s">
        <v>309</v>
      </c>
      <c r="H136" s="17" t="s">
        <v>92</v>
      </c>
      <c r="I136" s="17" t="s">
        <v>96</v>
      </c>
      <c r="J136" s="17" t="s">
        <v>97</v>
      </c>
      <c r="K136" s="17" t="s">
        <v>98</v>
      </c>
      <c r="L136" s="17" t="s">
        <v>45</v>
      </c>
      <c r="M136" s="17" t="s">
        <v>310</v>
      </c>
      <c r="N136" s="17" t="s">
        <v>64</v>
      </c>
    </row>
    <row r="137" ht="60.0" customHeight="1">
      <c r="A137" s="20" t="s">
        <v>91</v>
      </c>
      <c r="B137" s="20" t="s">
        <v>55</v>
      </c>
      <c r="C137" s="20" t="s">
        <v>92</v>
      </c>
      <c r="D137" s="20" t="s">
        <v>93</v>
      </c>
      <c r="E137" s="20" t="s">
        <v>94</v>
      </c>
      <c r="F137" s="37">
        <v>127.0</v>
      </c>
      <c r="G137" s="20" t="s">
        <v>1097</v>
      </c>
      <c r="H137" s="20" t="s">
        <v>92</v>
      </c>
      <c r="I137" s="20" t="s">
        <v>208</v>
      </c>
      <c r="J137" s="20" t="s">
        <v>97</v>
      </c>
      <c r="K137" s="20" t="s">
        <v>98</v>
      </c>
      <c r="L137" s="20" t="s">
        <v>45</v>
      </c>
      <c r="M137" s="20" t="s">
        <v>1098</v>
      </c>
      <c r="N137" s="20" t="s">
        <v>64</v>
      </c>
    </row>
    <row r="138" ht="60.0" customHeight="1">
      <c r="A138" s="17" t="s">
        <v>91</v>
      </c>
      <c r="B138" s="17" t="s">
        <v>55</v>
      </c>
      <c r="C138" s="17" t="s">
        <v>92</v>
      </c>
      <c r="D138" s="17" t="s">
        <v>93</v>
      </c>
      <c r="E138" s="17" t="s">
        <v>94</v>
      </c>
      <c r="F138" s="36">
        <v>150.0</v>
      </c>
      <c r="G138" s="17" t="s">
        <v>1136</v>
      </c>
      <c r="H138" s="17" t="s">
        <v>92</v>
      </c>
      <c r="I138" s="17" t="s">
        <v>96</v>
      </c>
      <c r="J138" s="17" t="s">
        <v>97</v>
      </c>
      <c r="K138" s="17" t="s">
        <v>98</v>
      </c>
      <c r="L138" s="17" t="s">
        <v>45</v>
      </c>
      <c r="M138" s="17" t="s">
        <v>1137</v>
      </c>
      <c r="N138" s="17" t="s">
        <v>64</v>
      </c>
    </row>
    <row r="139" ht="60.0" customHeight="1">
      <c r="A139" s="20" t="s">
        <v>91</v>
      </c>
      <c r="B139" s="20" t="s">
        <v>55</v>
      </c>
      <c r="C139" s="20" t="s">
        <v>92</v>
      </c>
      <c r="D139" s="20" t="s">
        <v>93</v>
      </c>
      <c r="E139" s="20" t="s">
        <v>94</v>
      </c>
      <c r="F139" s="37">
        <v>168.35</v>
      </c>
      <c r="G139" s="20" t="s">
        <v>1167</v>
      </c>
      <c r="H139" s="20" t="s">
        <v>92</v>
      </c>
      <c r="I139" s="20" t="s">
        <v>208</v>
      </c>
      <c r="J139" s="20" t="s">
        <v>97</v>
      </c>
      <c r="K139" s="20" t="s">
        <v>98</v>
      </c>
      <c r="L139" s="20" t="s">
        <v>45</v>
      </c>
      <c r="M139" s="20" t="s">
        <v>1168</v>
      </c>
      <c r="N139" s="20" t="s">
        <v>64</v>
      </c>
    </row>
    <row r="140" ht="60.0" customHeight="1">
      <c r="A140" s="17" t="s">
        <v>91</v>
      </c>
      <c r="B140" s="17" t="s">
        <v>55</v>
      </c>
      <c r="C140" s="17" t="s">
        <v>92</v>
      </c>
      <c r="D140" s="17" t="s">
        <v>93</v>
      </c>
      <c r="E140" s="17" t="s">
        <v>94</v>
      </c>
      <c r="F140" s="36">
        <v>175.0</v>
      </c>
      <c r="G140" s="17" t="s">
        <v>1207</v>
      </c>
      <c r="H140" s="17" t="s">
        <v>92</v>
      </c>
      <c r="I140" s="17" t="s">
        <v>208</v>
      </c>
      <c r="J140" s="17" t="s">
        <v>97</v>
      </c>
      <c r="K140" s="17" t="s">
        <v>98</v>
      </c>
      <c r="L140" s="17" t="s">
        <v>45</v>
      </c>
      <c r="M140" s="17" t="s">
        <v>1208</v>
      </c>
      <c r="N140" s="17" t="s">
        <v>64</v>
      </c>
    </row>
    <row r="141" ht="60.0" customHeight="1">
      <c r="A141" s="20" t="s">
        <v>91</v>
      </c>
      <c r="B141" s="20" t="s">
        <v>55</v>
      </c>
      <c r="C141" s="20" t="s">
        <v>554</v>
      </c>
      <c r="D141" s="20" t="s">
        <v>353</v>
      </c>
      <c r="E141" s="20" t="s">
        <v>354</v>
      </c>
      <c r="F141" s="37">
        <v>28.34</v>
      </c>
      <c r="G141" s="20" t="s">
        <v>739</v>
      </c>
      <c r="H141" s="20" t="s">
        <v>554</v>
      </c>
      <c r="I141" s="20" t="s">
        <v>188</v>
      </c>
      <c r="J141" s="20" t="s">
        <v>189</v>
      </c>
      <c r="K141" s="20" t="s">
        <v>190</v>
      </c>
      <c r="L141" s="20" t="s">
        <v>45</v>
      </c>
      <c r="M141" s="20" t="s">
        <v>740</v>
      </c>
      <c r="N141" s="20" t="s">
        <v>64</v>
      </c>
    </row>
    <row r="142" ht="60.0" customHeight="1">
      <c r="A142" s="17" t="s">
        <v>91</v>
      </c>
      <c r="B142" s="17" t="s">
        <v>55</v>
      </c>
      <c r="C142" s="17" t="s">
        <v>554</v>
      </c>
      <c r="D142" s="17" t="s">
        <v>353</v>
      </c>
      <c r="E142" s="17" t="s">
        <v>354</v>
      </c>
      <c r="F142" s="36">
        <v>48.54</v>
      </c>
      <c r="G142" s="17" t="s">
        <v>857</v>
      </c>
      <c r="H142" s="17" t="s">
        <v>554</v>
      </c>
      <c r="I142" s="17" t="s">
        <v>188</v>
      </c>
      <c r="J142" s="17" t="s">
        <v>189</v>
      </c>
      <c r="K142" s="17" t="s">
        <v>190</v>
      </c>
      <c r="L142" s="17" t="s">
        <v>45</v>
      </c>
      <c r="M142" s="17" t="s">
        <v>858</v>
      </c>
      <c r="N142" s="17" t="s">
        <v>64</v>
      </c>
    </row>
    <row r="143" ht="60.0" customHeight="1">
      <c r="A143" s="20" t="s">
        <v>91</v>
      </c>
      <c r="B143" s="20" t="s">
        <v>55</v>
      </c>
      <c r="C143" s="20" t="s">
        <v>554</v>
      </c>
      <c r="D143" s="20" t="s">
        <v>353</v>
      </c>
      <c r="E143" s="20" t="s">
        <v>354</v>
      </c>
      <c r="F143" s="37">
        <v>100.0</v>
      </c>
      <c r="G143" s="20" t="s">
        <v>1051</v>
      </c>
      <c r="H143" s="20" t="s">
        <v>554</v>
      </c>
      <c r="I143" s="20" t="s">
        <v>188</v>
      </c>
      <c r="J143" s="20" t="s">
        <v>189</v>
      </c>
      <c r="K143" s="20" t="s">
        <v>190</v>
      </c>
      <c r="L143" s="20" t="s">
        <v>45</v>
      </c>
      <c r="M143" s="20" t="s">
        <v>1052</v>
      </c>
      <c r="N143" s="20" t="s">
        <v>64</v>
      </c>
    </row>
    <row r="144" ht="60.0" customHeight="1">
      <c r="A144" s="17" t="s">
        <v>91</v>
      </c>
      <c r="B144" s="17" t="s">
        <v>55</v>
      </c>
      <c r="C144" s="17" t="s">
        <v>554</v>
      </c>
      <c r="D144" s="17" t="s">
        <v>353</v>
      </c>
      <c r="E144" s="17" t="s">
        <v>354</v>
      </c>
      <c r="F144" s="36">
        <v>100.0</v>
      </c>
      <c r="G144" s="17" t="s">
        <v>1053</v>
      </c>
      <c r="H144" s="17" t="s">
        <v>554</v>
      </c>
      <c r="I144" s="17" t="s">
        <v>188</v>
      </c>
      <c r="J144" s="17" t="s">
        <v>189</v>
      </c>
      <c r="K144" s="17" t="s">
        <v>190</v>
      </c>
      <c r="L144" s="17" t="s">
        <v>45</v>
      </c>
      <c r="M144" s="17" t="s">
        <v>1054</v>
      </c>
      <c r="N144" s="17" t="s">
        <v>64</v>
      </c>
    </row>
    <row r="145" ht="60.0" customHeight="1">
      <c r="A145" s="20" t="s">
        <v>91</v>
      </c>
      <c r="B145" s="20" t="s">
        <v>55</v>
      </c>
      <c r="C145" s="20" t="s">
        <v>876</v>
      </c>
      <c r="D145" s="20" t="s">
        <v>39</v>
      </c>
      <c r="E145" s="20" t="s">
        <v>40</v>
      </c>
      <c r="F145" s="37">
        <v>50.0</v>
      </c>
      <c r="G145" s="20" t="s">
        <v>877</v>
      </c>
      <c r="H145" s="20" t="s">
        <v>876</v>
      </c>
      <c r="I145" s="20" t="s">
        <v>188</v>
      </c>
      <c r="J145" s="20" t="s">
        <v>189</v>
      </c>
      <c r="K145" s="20" t="s">
        <v>190</v>
      </c>
      <c r="L145" s="20" t="s">
        <v>45</v>
      </c>
      <c r="M145" s="20" t="s">
        <v>878</v>
      </c>
      <c r="N145" s="20" t="s">
        <v>64</v>
      </c>
    </row>
    <row r="146" ht="60.0" customHeight="1">
      <c r="A146" s="17" t="s">
        <v>91</v>
      </c>
      <c r="B146" s="17" t="s">
        <v>55</v>
      </c>
      <c r="C146" s="17" t="s">
        <v>424</v>
      </c>
      <c r="D146" s="17" t="s">
        <v>149</v>
      </c>
      <c r="E146" s="17" t="s">
        <v>150</v>
      </c>
      <c r="F146" s="36">
        <v>396.94</v>
      </c>
      <c r="G146" s="17" t="s">
        <v>463</v>
      </c>
      <c r="H146" s="17" t="s">
        <v>424</v>
      </c>
      <c r="I146" s="17" t="s">
        <v>426</v>
      </c>
      <c r="J146" s="17" t="s">
        <v>427</v>
      </c>
      <c r="K146" s="17" t="s">
        <v>428</v>
      </c>
      <c r="L146" s="17" t="s">
        <v>45</v>
      </c>
      <c r="M146" s="17" t="s">
        <v>464</v>
      </c>
      <c r="N146" s="17" t="s">
        <v>64</v>
      </c>
    </row>
    <row r="147" ht="60.0" customHeight="1">
      <c r="A147" s="20" t="s">
        <v>91</v>
      </c>
      <c r="B147" s="20" t="s">
        <v>55</v>
      </c>
      <c r="C147" s="20" t="s">
        <v>636</v>
      </c>
      <c r="D147" s="20" t="s">
        <v>127</v>
      </c>
      <c r="E147" s="20" t="s">
        <v>128</v>
      </c>
      <c r="F147" s="37">
        <v>22.64</v>
      </c>
      <c r="G147" s="20" t="s">
        <v>694</v>
      </c>
      <c r="H147" s="20" t="s">
        <v>636</v>
      </c>
      <c r="I147" s="20" t="s">
        <v>638</v>
      </c>
      <c r="J147" s="20" t="s">
        <v>613</v>
      </c>
      <c r="K147" s="20" t="s">
        <v>614</v>
      </c>
      <c r="L147" s="20" t="s">
        <v>45</v>
      </c>
      <c r="M147" s="20" t="s">
        <v>695</v>
      </c>
      <c r="N147" s="20" t="s">
        <v>74</v>
      </c>
    </row>
    <row r="148" ht="60.0" customHeight="1">
      <c r="A148" s="17" t="s">
        <v>91</v>
      </c>
      <c r="B148" s="17" t="s">
        <v>55</v>
      </c>
      <c r="C148" s="17" t="s">
        <v>636</v>
      </c>
      <c r="D148" s="17" t="s">
        <v>127</v>
      </c>
      <c r="E148" s="17" t="s">
        <v>128</v>
      </c>
      <c r="F148" s="36">
        <v>32.82</v>
      </c>
      <c r="G148" s="17" t="s">
        <v>779</v>
      </c>
      <c r="H148" s="17" t="s">
        <v>636</v>
      </c>
      <c r="I148" s="17" t="s">
        <v>638</v>
      </c>
      <c r="J148" s="17" t="s">
        <v>613</v>
      </c>
      <c r="K148" s="17" t="s">
        <v>614</v>
      </c>
      <c r="L148" s="17" t="s">
        <v>45</v>
      </c>
      <c r="M148" s="17" t="s">
        <v>780</v>
      </c>
      <c r="N148" s="17" t="s">
        <v>64</v>
      </c>
    </row>
    <row r="149" ht="60.0" customHeight="1">
      <c r="A149" s="20" t="s">
        <v>91</v>
      </c>
      <c r="B149" s="20" t="s">
        <v>55</v>
      </c>
      <c r="C149" s="20" t="s">
        <v>215</v>
      </c>
      <c r="D149" s="20" t="s">
        <v>127</v>
      </c>
      <c r="E149" s="20" t="s">
        <v>128</v>
      </c>
      <c r="F149" s="37">
        <v>42.75</v>
      </c>
      <c r="G149" s="20" t="s">
        <v>216</v>
      </c>
      <c r="H149" s="20" t="s">
        <v>215</v>
      </c>
      <c r="I149" s="20" t="s">
        <v>217</v>
      </c>
      <c r="J149" s="20" t="s">
        <v>218</v>
      </c>
      <c r="K149" s="20" t="s">
        <v>219</v>
      </c>
      <c r="L149" s="20" t="s">
        <v>45</v>
      </c>
      <c r="M149" s="20" t="s">
        <v>220</v>
      </c>
      <c r="N149" s="20" t="s">
        <v>221</v>
      </c>
    </row>
    <row r="150" ht="60.0" customHeight="1">
      <c r="A150" s="17" t="s">
        <v>91</v>
      </c>
      <c r="B150" s="17" t="s">
        <v>55</v>
      </c>
      <c r="C150" s="17" t="s">
        <v>748</v>
      </c>
      <c r="D150" s="17" t="s">
        <v>149</v>
      </c>
      <c r="E150" s="17" t="s">
        <v>150</v>
      </c>
      <c r="F150" s="36">
        <v>29.91</v>
      </c>
      <c r="G150" s="17" t="s">
        <v>749</v>
      </c>
      <c r="H150" s="17" t="s">
        <v>750</v>
      </c>
      <c r="I150" s="17" t="s">
        <v>751</v>
      </c>
      <c r="J150" s="17" t="s">
        <v>71</v>
      </c>
      <c r="K150" s="17" t="s">
        <v>249</v>
      </c>
      <c r="L150" s="17" t="s">
        <v>45</v>
      </c>
      <c r="M150" s="17" t="s">
        <v>752</v>
      </c>
      <c r="N150" s="17" t="s">
        <v>753</v>
      </c>
    </row>
    <row r="151" ht="60.0" customHeight="1">
      <c r="A151" s="20" t="s">
        <v>383</v>
      </c>
      <c r="B151" s="20" t="s">
        <v>55</v>
      </c>
      <c r="C151" s="20" t="s">
        <v>503</v>
      </c>
      <c r="D151" s="20" t="s">
        <v>93</v>
      </c>
      <c r="E151" s="20" t="s">
        <v>94</v>
      </c>
      <c r="F151" s="37">
        <v>7402.3</v>
      </c>
      <c r="G151" s="20" t="s">
        <v>504</v>
      </c>
      <c r="H151" s="20" t="s">
        <v>503</v>
      </c>
      <c r="I151" s="20" t="s">
        <v>285</v>
      </c>
      <c r="J151" s="20" t="s">
        <v>71</v>
      </c>
      <c r="K151" s="20" t="s">
        <v>249</v>
      </c>
      <c r="L151" s="20" t="s">
        <v>45</v>
      </c>
      <c r="M151" s="20" t="s">
        <v>505</v>
      </c>
      <c r="N151" s="20" t="s">
        <v>287</v>
      </c>
    </row>
    <row r="152" ht="60.0" customHeight="1">
      <c r="A152" s="17" t="s">
        <v>383</v>
      </c>
      <c r="B152" s="17" t="s">
        <v>55</v>
      </c>
      <c r="C152" s="17" t="s">
        <v>384</v>
      </c>
      <c r="D152" s="17" t="s">
        <v>57</v>
      </c>
      <c r="E152" s="17" t="s">
        <v>58</v>
      </c>
      <c r="F152" s="36">
        <v>162.27</v>
      </c>
      <c r="G152" s="17" t="s">
        <v>385</v>
      </c>
      <c r="H152" s="17" t="s">
        <v>384</v>
      </c>
      <c r="I152" s="17" t="s">
        <v>208</v>
      </c>
      <c r="J152" s="17" t="s">
        <v>97</v>
      </c>
      <c r="K152" s="17" t="s">
        <v>98</v>
      </c>
      <c r="L152" s="17" t="s">
        <v>45</v>
      </c>
      <c r="M152" s="17" t="s">
        <v>386</v>
      </c>
      <c r="N152" s="17" t="s">
        <v>64</v>
      </c>
    </row>
    <row r="153" ht="60.0" customHeight="1">
      <c r="A153" s="20" t="s">
        <v>383</v>
      </c>
      <c r="B153" s="20" t="s">
        <v>55</v>
      </c>
      <c r="C153" s="20" t="s">
        <v>66</v>
      </c>
      <c r="D153" s="20" t="s">
        <v>67</v>
      </c>
      <c r="E153" s="20" t="s">
        <v>68</v>
      </c>
      <c r="F153" s="37">
        <v>201.51</v>
      </c>
      <c r="G153" s="20" t="s">
        <v>404</v>
      </c>
      <c r="H153" s="20" t="s">
        <v>66</v>
      </c>
      <c r="I153" s="20" t="s">
        <v>70</v>
      </c>
      <c r="J153" s="20" t="s">
        <v>71</v>
      </c>
      <c r="K153" s="20" t="s">
        <v>72</v>
      </c>
      <c r="L153" s="20" t="s">
        <v>45</v>
      </c>
      <c r="M153" s="20" t="s">
        <v>405</v>
      </c>
      <c r="N153" s="20" t="s">
        <v>74</v>
      </c>
    </row>
    <row r="154" ht="60.0" customHeight="1">
      <c r="A154" s="17" t="s">
        <v>134</v>
      </c>
      <c r="B154" s="17" t="s">
        <v>55</v>
      </c>
      <c r="C154" s="17" t="s">
        <v>84</v>
      </c>
      <c r="D154" s="17" t="s">
        <v>39</v>
      </c>
      <c r="E154" s="17" t="s">
        <v>40</v>
      </c>
      <c r="F154" s="36">
        <v>14.02</v>
      </c>
      <c r="G154" s="17" t="s">
        <v>135</v>
      </c>
      <c r="H154" s="17" t="s">
        <v>84</v>
      </c>
      <c r="I154" s="17" t="s">
        <v>86</v>
      </c>
      <c r="J154" s="17" t="s">
        <v>87</v>
      </c>
      <c r="K154" s="17" t="s">
        <v>88</v>
      </c>
      <c r="L154" s="17" t="s">
        <v>45</v>
      </c>
      <c r="M154" s="17" t="s">
        <v>136</v>
      </c>
      <c r="N154" s="17" t="s">
        <v>90</v>
      </c>
    </row>
    <row r="155" ht="60.0" customHeight="1">
      <c r="A155" s="20" t="s">
        <v>134</v>
      </c>
      <c r="B155" s="20" t="s">
        <v>55</v>
      </c>
      <c r="C155" s="20" t="s">
        <v>557</v>
      </c>
      <c r="D155" s="20" t="s">
        <v>138</v>
      </c>
      <c r="E155" s="20" t="s">
        <v>139</v>
      </c>
      <c r="F155" s="37">
        <v>82.49</v>
      </c>
      <c r="G155" s="20" t="s">
        <v>1001</v>
      </c>
      <c r="H155" s="20" t="s">
        <v>557</v>
      </c>
      <c r="I155" s="20" t="s">
        <v>188</v>
      </c>
      <c r="J155" s="20" t="s">
        <v>189</v>
      </c>
      <c r="K155" s="20" t="s">
        <v>190</v>
      </c>
      <c r="L155" s="20" t="s">
        <v>45</v>
      </c>
      <c r="M155" s="20" t="s">
        <v>1002</v>
      </c>
      <c r="N155" s="20" t="s">
        <v>64</v>
      </c>
    </row>
    <row r="156" ht="60.0" customHeight="1">
      <c r="A156" s="17" t="s">
        <v>134</v>
      </c>
      <c r="B156" s="17" t="s">
        <v>55</v>
      </c>
      <c r="C156" s="17" t="s">
        <v>228</v>
      </c>
      <c r="D156" s="17" t="s">
        <v>149</v>
      </c>
      <c r="E156" s="17" t="s">
        <v>150</v>
      </c>
      <c r="F156" s="36">
        <v>98.77</v>
      </c>
      <c r="G156" s="17" t="s">
        <v>1038</v>
      </c>
      <c r="H156" s="17" t="s">
        <v>228</v>
      </c>
      <c r="I156" s="17" t="s">
        <v>230</v>
      </c>
      <c r="J156" s="17" t="s">
        <v>119</v>
      </c>
      <c r="K156" s="17" t="s">
        <v>231</v>
      </c>
      <c r="L156" s="17" t="s">
        <v>45</v>
      </c>
      <c r="M156" s="17" t="s">
        <v>1039</v>
      </c>
      <c r="N156" s="17" t="s">
        <v>64</v>
      </c>
    </row>
    <row r="157" ht="60.0" customHeight="1">
      <c r="A157" s="20" t="s">
        <v>183</v>
      </c>
      <c r="B157" s="20" t="s">
        <v>55</v>
      </c>
      <c r="C157" s="20" t="s">
        <v>418</v>
      </c>
      <c r="D157" s="20" t="s">
        <v>39</v>
      </c>
      <c r="E157" s="20" t="s">
        <v>40</v>
      </c>
      <c r="F157" s="37">
        <v>229.46</v>
      </c>
      <c r="G157" s="20" t="s">
        <v>419</v>
      </c>
      <c r="H157" s="20" t="s">
        <v>418</v>
      </c>
      <c r="I157" s="20" t="s">
        <v>420</v>
      </c>
      <c r="J157" s="20" t="s">
        <v>43</v>
      </c>
      <c r="K157" s="20" t="s">
        <v>421</v>
      </c>
      <c r="L157" s="20" t="s">
        <v>45</v>
      </c>
      <c r="M157" s="20" t="s">
        <v>422</v>
      </c>
      <c r="N157" s="20" t="s">
        <v>423</v>
      </c>
    </row>
    <row r="158" ht="60.0" customHeight="1">
      <c r="A158" s="17" t="s">
        <v>183</v>
      </c>
      <c r="B158" s="17" t="s">
        <v>55</v>
      </c>
      <c r="C158" s="17" t="s">
        <v>489</v>
      </c>
      <c r="D158" s="17" t="s">
        <v>67</v>
      </c>
      <c r="E158" s="17" t="s">
        <v>68</v>
      </c>
      <c r="F158" s="36">
        <v>1015.2</v>
      </c>
      <c r="G158" s="17" t="s">
        <v>490</v>
      </c>
      <c r="H158" s="17" t="s">
        <v>489</v>
      </c>
      <c r="I158" s="17" t="s">
        <v>285</v>
      </c>
      <c r="J158" s="17" t="s">
        <v>71</v>
      </c>
      <c r="K158" s="17" t="s">
        <v>249</v>
      </c>
      <c r="L158" s="17" t="s">
        <v>45</v>
      </c>
      <c r="M158" s="17" t="s">
        <v>491</v>
      </c>
      <c r="N158" s="17" t="s">
        <v>287</v>
      </c>
    </row>
    <row r="159" ht="60.0" customHeight="1">
      <c r="A159" s="20" t="s">
        <v>183</v>
      </c>
      <c r="B159" s="20" t="s">
        <v>55</v>
      </c>
      <c r="C159" s="20" t="s">
        <v>92</v>
      </c>
      <c r="D159" s="20" t="s">
        <v>93</v>
      </c>
      <c r="E159" s="20" t="s">
        <v>94</v>
      </c>
      <c r="F159" s="37">
        <v>19.94</v>
      </c>
      <c r="G159" s="20" t="s">
        <v>659</v>
      </c>
      <c r="H159" s="20" t="s">
        <v>92</v>
      </c>
      <c r="I159" s="20" t="s">
        <v>208</v>
      </c>
      <c r="J159" s="20" t="s">
        <v>97</v>
      </c>
      <c r="K159" s="20" t="s">
        <v>98</v>
      </c>
      <c r="L159" s="20" t="s">
        <v>45</v>
      </c>
      <c r="M159" s="20" t="s">
        <v>660</v>
      </c>
      <c r="N159" s="20" t="s">
        <v>64</v>
      </c>
    </row>
    <row r="160" ht="60.0" customHeight="1">
      <c r="A160" s="17" t="s">
        <v>183</v>
      </c>
      <c r="B160" s="17" t="s">
        <v>55</v>
      </c>
      <c r="C160" s="17" t="s">
        <v>92</v>
      </c>
      <c r="D160" s="17" t="s">
        <v>138</v>
      </c>
      <c r="E160" s="17" t="s">
        <v>139</v>
      </c>
      <c r="F160" s="36">
        <v>28.14</v>
      </c>
      <c r="G160" s="17" t="s">
        <v>184</v>
      </c>
      <c r="H160" s="17" t="s">
        <v>92</v>
      </c>
      <c r="I160" s="17" t="s">
        <v>96</v>
      </c>
      <c r="J160" s="17" t="s">
        <v>97</v>
      </c>
      <c r="K160" s="17" t="s">
        <v>98</v>
      </c>
      <c r="L160" s="17" t="s">
        <v>45</v>
      </c>
      <c r="M160" s="17" t="s">
        <v>185</v>
      </c>
      <c r="N160" s="17" t="s">
        <v>64</v>
      </c>
    </row>
    <row r="161" ht="60.0" customHeight="1">
      <c r="A161" s="20" t="s">
        <v>183</v>
      </c>
      <c r="B161" s="20" t="s">
        <v>55</v>
      </c>
      <c r="C161" s="20" t="s">
        <v>92</v>
      </c>
      <c r="D161" s="20" t="s">
        <v>93</v>
      </c>
      <c r="E161" s="20" t="s">
        <v>94</v>
      </c>
      <c r="F161" s="37">
        <v>142.52</v>
      </c>
      <c r="G161" s="20" t="s">
        <v>1120</v>
      </c>
      <c r="H161" s="20" t="s">
        <v>92</v>
      </c>
      <c r="I161" s="20" t="s">
        <v>208</v>
      </c>
      <c r="J161" s="20" t="s">
        <v>97</v>
      </c>
      <c r="K161" s="20" t="s">
        <v>98</v>
      </c>
      <c r="L161" s="20" t="s">
        <v>45</v>
      </c>
      <c r="M161" s="20" t="s">
        <v>1121</v>
      </c>
      <c r="N161" s="20" t="s">
        <v>64</v>
      </c>
    </row>
    <row r="162" ht="60.0" customHeight="1">
      <c r="A162" s="17" t="s">
        <v>183</v>
      </c>
      <c r="B162" s="17" t="s">
        <v>55</v>
      </c>
      <c r="C162" s="17" t="s">
        <v>92</v>
      </c>
      <c r="D162" s="17" t="s">
        <v>138</v>
      </c>
      <c r="E162" s="17" t="s">
        <v>139</v>
      </c>
      <c r="F162" s="36">
        <v>173.17</v>
      </c>
      <c r="G162" s="17" t="s">
        <v>1183</v>
      </c>
      <c r="H162" s="17" t="s">
        <v>92</v>
      </c>
      <c r="I162" s="17" t="s">
        <v>208</v>
      </c>
      <c r="J162" s="17" t="s">
        <v>97</v>
      </c>
      <c r="K162" s="17" t="s">
        <v>98</v>
      </c>
      <c r="L162" s="17" t="s">
        <v>45</v>
      </c>
      <c r="M162" s="17" t="s">
        <v>1184</v>
      </c>
      <c r="N162" s="17" t="s">
        <v>64</v>
      </c>
    </row>
    <row r="163" ht="60.0" customHeight="1">
      <c r="A163" s="20" t="s">
        <v>183</v>
      </c>
      <c r="B163" s="20" t="s">
        <v>55</v>
      </c>
      <c r="C163" s="20" t="s">
        <v>1044</v>
      </c>
      <c r="D163" s="20" t="s">
        <v>39</v>
      </c>
      <c r="E163" s="20" t="s">
        <v>40</v>
      </c>
      <c r="F163" s="37">
        <v>99.5</v>
      </c>
      <c r="G163" s="20" t="s">
        <v>1045</v>
      </c>
      <c r="H163" s="20" t="s">
        <v>1044</v>
      </c>
      <c r="I163" s="20" t="s">
        <v>208</v>
      </c>
      <c r="J163" s="20" t="s">
        <v>97</v>
      </c>
      <c r="K163" s="20" t="s">
        <v>98</v>
      </c>
      <c r="L163" s="20" t="s">
        <v>45</v>
      </c>
      <c r="M163" s="20" t="s">
        <v>1046</v>
      </c>
      <c r="N163" s="20" t="s">
        <v>64</v>
      </c>
    </row>
    <row r="164" ht="60.0" customHeight="1">
      <c r="A164" s="17" t="s">
        <v>183</v>
      </c>
      <c r="B164" s="17" t="s">
        <v>55</v>
      </c>
      <c r="C164" s="17" t="s">
        <v>1044</v>
      </c>
      <c r="D164" s="17" t="s">
        <v>39</v>
      </c>
      <c r="E164" s="17" t="s">
        <v>40</v>
      </c>
      <c r="F164" s="36">
        <v>128.0</v>
      </c>
      <c r="G164" s="17" t="s">
        <v>1104</v>
      </c>
      <c r="H164" s="17" t="s">
        <v>1044</v>
      </c>
      <c r="I164" s="17" t="s">
        <v>96</v>
      </c>
      <c r="J164" s="17" t="s">
        <v>97</v>
      </c>
      <c r="K164" s="17" t="s">
        <v>98</v>
      </c>
      <c r="L164" s="17" t="s">
        <v>45</v>
      </c>
      <c r="M164" s="17" t="s">
        <v>1105</v>
      </c>
      <c r="N164" s="17" t="s">
        <v>64</v>
      </c>
    </row>
    <row r="165" ht="60.0" customHeight="1">
      <c r="A165" s="20" t="s">
        <v>183</v>
      </c>
      <c r="B165" s="20" t="s">
        <v>55</v>
      </c>
      <c r="C165" s="20" t="s">
        <v>684</v>
      </c>
      <c r="D165" s="20" t="s">
        <v>39</v>
      </c>
      <c r="E165" s="20" t="s">
        <v>40</v>
      </c>
      <c r="F165" s="37">
        <v>22.36</v>
      </c>
      <c r="G165" s="20" t="s">
        <v>685</v>
      </c>
      <c r="H165" s="20" t="s">
        <v>684</v>
      </c>
      <c r="I165" s="20" t="s">
        <v>686</v>
      </c>
      <c r="J165" s="20" t="s">
        <v>687</v>
      </c>
      <c r="K165" s="20" t="s">
        <v>688</v>
      </c>
      <c r="L165" s="20" t="s">
        <v>45</v>
      </c>
      <c r="M165" s="20" t="s">
        <v>689</v>
      </c>
      <c r="N165" s="20" t="s">
        <v>74</v>
      </c>
    </row>
    <row r="166" ht="60.0" customHeight="1">
      <c r="A166" s="17" t="s">
        <v>183</v>
      </c>
      <c r="B166" s="17" t="s">
        <v>55</v>
      </c>
      <c r="C166" s="17" t="s">
        <v>982</v>
      </c>
      <c r="D166" s="17" t="s">
        <v>39</v>
      </c>
      <c r="E166" s="17" t="s">
        <v>40</v>
      </c>
      <c r="F166" s="36">
        <v>78.94</v>
      </c>
      <c r="G166" s="17" t="s">
        <v>983</v>
      </c>
      <c r="H166" s="17" t="s">
        <v>982</v>
      </c>
      <c r="I166" s="17" t="s">
        <v>984</v>
      </c>
      <c r="J166" s="17" t="s">
        <v>433</v>
      </c>
      <c r="K166" s="17" t="s">
        <v>985</v>
      </c>
      <c r="L166" s="17" t="s">
        <v>45</v>
      </c>
      <c r="M166" s="17" t="s">
        <v>986</v>
      </c>
      <c r="N166" s="17" t="s">
        <v>182</v>
      </c>
    </row>
    <row r="167" ht="60.0" customHeight="1">
      <c r="A167" s="20" t="s">
        <v>183</v>
      </c>
      <c r="B167" s="20" t="s">
        <v>55</v>
      </c>
      <c r="C167" s="20" t="s">
        <v>741</v>
      </c>
      <c r="D167" s="20" t="s">
        <v>149</v>
      </c>
      <c r="E167" s="20" t="s">
        <v>150</v>
      </c>
      <c r="F167" s="37">
        <v>28.94</v>
      </c>
      <c r="G167" s="20" t="s">
        <v>742</v>
      </c>
      <c r="H167" s="20" t="s">
        <v>741</v>
      </c>
      <c r="I167" s="20" t="s">
        <v>743</v>
      </c>
      <c r="J167" s="20" t="s">
        <v>119</v>
      </c>
      <c r="K167" s="20" t="s">
        <v>120</v>
      </c>
      <c r="L167" s="20" t="s">
        <v>45</v>
      </c>
      <c r="M167" s="20" t="s">
        <v>744</v>
      </c>
      <c r="N167" s="20" t="s">
        <v>122</v>
      </c>
    </row>
    <row r="168" ht="60.0" customHeight="1">
      <c r="A168" s="17" t="s">
        <v>183</v>
      </c>
      <c r="B168" s="17" t="s">
        <v>55</v>
      </c>
      <c r="C168" s="17" t="s">
        <v>476</v>
      </c>
      <c r="D168" s="17" t="s">
        <v>127</v>
      </c>
      <c r="E168" s="17" t="s">
        <v>128</v>
      </c>
      <c r="F168" s="36">
        <v>544.08</v>
      </c>
      <c r="G168" s="17" t="s">
        <v>477</v>
      </c>
      <c r="H168" s="17" t="s">
        <v>476</v>
      </c>
      <c r="I168" s="17" t="s">
        <v>478</v>
      </c>
      <c r="J168" s="17" t="s">
        <v>142</v>
      </c>
      <c r="K168" s="17" t="s">
        <v>479</v>
      </c>
      <c r="L168" s="17" t="s">
        <v>45</v>
      </c>
      <c r="M168" s="17" t="s">
        <v>480</v>
      </c>
      <c r="N168" s="17" t="s">
        <v>308</v>
      </c>
    </row>
    <row r="169" ht="60.0" customHeight="1">
      <c r="A169" s="20" t="s">
        <v>183</v>
      </c>
      <c r="B169" s="20" t="s">
        <v>55</v>
      </c>
      <c r="C169" s="20" t="s">
        <v>436</v>
      </c>
      <c r="D169" s="20" t="s">
        <v>39</v>
      </c>
      <c r="E169" s="20" t="s">
        <v>40</v>
      </c>
      <c r="F169" s="37">
        <v>1003.9</v>
      </c>
      <c r="G169" s="20" t="s">
        <v>487</v>
      </c>
      <c r="H169" s="20" t="s">
        <v>436</v>
      </c>
      <c r="I169" s="20" t="s">
        <v>438</v>
      </c>
      <c r="J169" s="20" t="s">
        <v>371</v>
      </c>
      <c r="K169" s="20" t="s">
        <v>372</v>
      </c>
      <c r="L169" s="20" t="s">
        <v>45</v>
      </c>
      <c r="M169" s="20" t="s">
        <v>488</v>
      </c>
      <c r="N169" s="20" t="s">
        <v>174</v>
      </c>
    </row>
    <row r="170" ht="60.0" customHeight="1">
      <c r="A170" s="17" t="s">
        <v>183</v>
      </c>
      <c r="B170" s="17" t="s">
        <v>55</v>
      </c>
      <c r="C170" s="17" t="s">
        <v>1361</v>
      </c>
      <c r="D170" s="17" t="s">
        <v>149</v>
      </c>
      <c r="E170" s="17" t="s">
        <v>150</v>
      </c>
      <c r="F170" s="36">
        <v>717.62</v>
      </c>
      <c r="G170" s="17" t="s">
        <v>1362</v>
      </c>
      <c r="H170" s="17" t="s">
        <v>1361</v>
      </c>
      <c r="I170" s="17" t="s">
        <v>1363</v>
      </c>
      <c r="J170" s="17" t="s">
        <v>1364</v>
      </c>
      <c r="K170" s="17" t="s">
        <v>1365</v>
      </c>
      <c r="L170" s="17" t="s">
        <v>45</v>
      </c>
      <c r="M170" s="17" t="s">
        <v>1366</v>
      </c>
      <c r="N170" s="17" t="s">
        <v>502</v>
      </c>
    </row>
    <row r="171" ht="60.0" customHeight="1">
      <c r="A171" s="20" t="s">
        <v>183</v>
      </c>
      <c r="B171" s="20" t="s">
        <v>55</v>
      </c>
      <c r="C171" s="20" t="s">
        <v>554</v>
      </c>
      <c r="D171" s="20" t="s">
        <v>353</v>
      </c>
      <c r="E171" s="20" t="s">
        <v>354</v>
      </c>
      <c r="F171" s="37">
        <v>100.0</v>
      </c>
      <c r="G171" s="20" t="s">
        <v>1049</v>
      </c>
      <c r="H171" s="20" t="s">
        <v>554</v>
      </c>
      <c r="I171" s="20" t="s">
        <v>188</v>
      </c>
      <c r="J171" s="20" t="s">
        <v>189</v>
      </c>
      <c r="K171" s="20" t="s">
        <v>190</v>
      </c>
      <c r="L171" s="20" t="s">
        <v>45</v>
      </c>
      <c r="M171" s="20" t="s">
        <v>1050</v>
      </c>
      <c r="N171" s="20" t="s">
        <v>64</v>
      </c>
    </row>
    <row r="172" ht="60.0" customHeight="1">
      <c r="A172" s="17" t="s">
        <v>183</v>
      </c>
      <c r="B172" s="17" t="s">
        <v>55</v>
      </c>
      <c r="C172" s="17" t="s">
        <v>918</v>
      </c>
      <c r="D172" s="17" t="s">
        <v>149</v>
      </c>
      <c r="E172" s="17" t="s">
        <v>150</v>
      </c>
      <c r="F172" s="36">
        <v>59.89</v>
      </c>
      <c r="G172" s="17" t="s">
        <v>919</v>
      </c>
      <c r="H172" s="17" t="s">
        <v>918</v>
      </c>
      <c r="I172" s="17" t="s">
        <v>920</v>
      </c>
      <c r="J172" s="17" t="s">
        <v>119</v>
      </c>
      <c r="K172" s="17" t="s">
        <v>120</v>
      </c>
      <c r="L172" s="17" t="s">
        <v>45</v>
      </c>
      <c r="M172" s="17" t="s">
        <v>921</v>
      </c>
      <c r="N172" s="17" t="s">
        <v>174</v>
      </c>
    </row>
    <row r="173" ht="60.0" customHeight="1">
      <c r="A173" s="20" t="s">
        <v>183</v>
      </c>
      <c r="B173" s="20" t="s">
        <v>55</v>
      </c>
      <c r="C173" s="20" t="s">
        <v>228</v>
      </c>
      <c r="D173" s="20" t="s">
        <v>149</v>
      </c>
      <c r="E173" s="20" t="s">
        <v>150</v>
      </c>
      <c r="F173" s="37">
        <v>98.77</v>
      </c>
      <c r="G173" s="20" t="s">
        <v>1036</v>
      </c>
      <c r="H173" s="20" t="s">
        <v>228</v>
      </c>
      <c r="I173" s="20" t="s">
        <v>230</v>
      </c>
      <c r="J173" s="20" t="s">
        <v>119</v>
      </c>
      <c r="K173" s="20" t="s">
        <v>231</v>
      </c>
      <c r="L173" s="20" t="s">
        <v>45</v>
      </c>
      <c r="M173" s="20" t="s">
        <v>1037</v>
      </c>
      <c r="N173" s="20" t="s">
        <v>64</v>
      </c>
    </row>
    <row r="174" ht="60.0" customHeight="1">
      <c r="A174" s="17" t="s">
        <v>183</v>
      </c>
      <c r="B174" s="17" t="s">
        <v>55</v>
      </c>
      <c r="C174" s="17" t="s">
        <v>760</v>
      </c>
      <c r="D174" s="17" t="s">
        <v>39</v>
      </c>
      <c r="E174" s="17" t="s">
        <v>40</v>
      </c>
      <c r="F174" s="36">
        <v>38.01</v>
      </c>
      <c r="G174" s="17" t="s">
        <v>812</v>
      </c>
      <c r="H174" s="17" t="s">
        <v>760</v>
      </c>
      <c r="I174" s="17" t="s">
        <v>762</v>
      </c>
      <c r="J174" s="17" t="s">
        <v>43</v>
      </c>
      <c r="K174" s="17" t="s">
        <v>44</v>
      </c>
      <c r="L174" s="17" t="s">
        <v>45</v>
      </c>
      <c r="M174" s="17" t="s">
        <v>813</v>
      </c>
      <c r="N174" s="17" t="s">
        <v>64</v>
      </c>
    </row>
    <row r="175" ht="60.0" customHeight="1">
      <c r="A175" s="20" t="s">
        <v>183</v>
      </c>
      <c r="B175" s="20" t="s">
        <v>55</v>
      </c>
      <c r="C175" s="20" t="s">
        <v>760</v>
      </c>
      <c r="D175" s="20" t="s">
        <v>39</v>
      </c>
      <c r="E175" s="20" t="s">
        <v>40</v>
      </c>
      <c r="F175" s="37">
        <v>45.55</v>
      </c>
      <c r="G175" s="20" t="s">
        <v>844</v>
      </c>
      <c r="H175" s="20" t="s">
        <v>760</v>
      </c>
      <c r="I175" s="20" t="s">
        <v>762</v>
      </c>
      <c r="J175" s="20" t="s">
        <v>43</v>
      </c>
      <c r="K175" s="20" t="s">
        <v>44</v>
      </c>
      <c r="L175" s="20" t="s">
        <v>45</v>
      </c>
      <c r="M175" s="20" t="s">
        <v>845</v>
      </c>
      <c r="N175" s="20" t="s">
        <v>64</v>
      </c>
    </row>
    <row r="176" ht="60.0" customHeight="1">
      <c r="A176" s="17" t="s">
        <v>183</v>
      </c>
      <c r="B176" s="17" t="s">
        <v>55</v>
      </c>
      <c r="C176" s="17" t="s">
        <v>760</v>
      </c>
      <c r="D176" s="17" t="s">
        <v>39</v>
      </c>
      <c r="E176" s="17" t="s">
        <v>40</v>
      </c>
      <c r="F176" s="36">
        <v>46.0</v>
      </c>
      <c r="G176" s="17" t="s">
        <v>848</v>
      </c>
      <c r="H176" s="17" t="s">
        <v>760</v>
      </c>
      <c r="I176" s="17" t="s">
        <v>762</v>
      </c>
      <c r="J176" s="17" t="s">
        <v>43</v>
      </c>
      <c r="K176" s="17" t="s">
        <v>44</v>
      </c>
      <c r="L176" s="17" t="s">
        <v>45</v>
      </c>
      <c r="M176" s="17" t="s">
        <v>849</v>
      </c>
      <c r="N176" s="17" t="s">
        <v>64</v>
      </c>
    </row>
    <row r="177" ht="60.0" customHeight="1">
      <c r="A177" s="20" t="s">
        <v>183</v>
      </c>
      <c r="B177" s="20" t="s">
        <v>55</v>
      </c>
      <c r="C177" s="20" t="s">
        <v>760</v>
      </c>
      <c r="D177" s="20" t="s">
        <v>39</v>
      </c>
      <c r="E177" s="20" t="s">
        <v>40</v>
      </c>
      <c r="F177" s="37">
        <v>83.25</v>
      </c>
      <c r="G177" s="20" t="s">
        <v>1003</v>
      </c>
      <c r="H177" s="20" t="s">
        <v>760</v>
      </c>
      <c r="I177" s="20" t="s">
        <v>762</v>
      </c>
      <c r="J177" s="20" t="s">
        <v>43</v>
      </c>
      <c r="K177" s="20" t="s">
        <v>44</v>
      </c>
      <c r="L177" s="20" t="s">
        <v>45</v>
      </c>
      <c r="M177" s="20" t="s">
        <v>1004</v>
      </c>
      <c r="N177" s="20" t="s">
        <v>64</v>
      </c>
    </row>
    <row r="178" ht="60.0" customHeight="1">
      <c r="A178" s="17" t="s">
        <v>183</v>
      </c>
      <c r="B178" s="17" t="s">
        <v>55</v>
      </c>
      <c r="C178" s="17" t="s">
        <v>888</v>
      </c>
      <c r="D178" s="17" t="s">
        <v>127</v>
      </c>
      <c r="E178" s="17" t="s">
        <v>128</v>
      </c>
      <c r="F178" s="36">
        <v>53.0</v>
      </c>
      <c r="G178" s="17" t="s">
        <v>889</v>
      </c>
      <c r="H178" s="17" t="s">
        <v>888</v>
      </c>
      <c r="I178" s="17" t="s">
        <v>890</v>
      </c>
      <c r="J178" s="17" t="s">
        <v>891</v>
      </c>
      <c r="K178" s="17" t="s">
        <v>892</v>
      </c>
      <c r="L178" s="17" t="s">
        <v>45</v>
      </c>
      <c r="M178" s="17" t="s">
        <v>893</v>
      </c>
      <c r="N178" s="17" t="s">
        <v>64</v>
      </c>
    </row>
    <row r="179" ht="60.0" customHeight="1">
      <c r="A179" s="20" t="s">
        <v>183</v>
      </c>
      <c r="B179" s="20" t="s">
        <v>55</v>
      </c>
      <c r="C179" s="20" t="s">
        <v>605</v>
      </c>
      <c r="D179" s="20" t="s">
        <v>39</v>
      </c>
      <c r="E179" s="20" t="s">
        <v>40</v>
      </c>
      <c r="F179" s="37">
        <v>13.68</v>
      </c>
      <c r="G179" s="20" t="s">
        <v>606</v>
      </c>
      <c r="H179" s="20" t="s">
        <v>605</v>
      </c>
      <c r="I179" s="20" t="s">
        <v>607</v>
      </c>
      <c r="J179" s="20" t="s">
        <v>119</v>
      </c>
      <c r="K179" s="20" t="s">
        <v>120</v>
      </c>
      <c r="L179" s="20" t="s">
        <v>45</v>
      </c>
      <c r="M179" s="20" t="s">
        <v>608</v>
      </c>
      <c r="N179" s="20" t="s">
        <v>609</v>
      </c>
    </row>
    <row r="180" ht="60.0" customHeight="1">
      <c r="A180" s="17" t="s">
        <v>83</v>
      </c>
      <c r="B180" s="17" t="s">
        <v>55</v>
      </c>
      <c r="C180" s="17" t="s">
        <v>157</v>
      </c>
      <c r="D180" s="17" t="s">
        <v>149</v>
      </c>
      <c r="E180" s="17" t="s">
        <v>150</v>
      </c>
      <c r="F180" s="36">
        <v>181.1</v>
      </c>
      <c r="G180" s="17" t="s">
        <v>1211</v>
      </c>
      <c r="H180" s="17" t="s">
        <v>159</v>
      </c>
      <c r="I180" s="17" t="s">
        <v>86</v>
      </c>
      <c r="J180" s="17" t="s">
        <v>87</v>
      </c>
      <c r="K180" s="17" t="s">
        <v>88</v>
      </c>
      <c r="L180" s="17" t="s">
        <v>45</v>
      </c>
      <c r="M180" s="17" t="s">
        <v>1212</v>
      </c>
      <c r="N180" s="17" t="s">
        <v>90</v>
      </c>
    </row>
    <row r="181" ht="60.0" customHeight="1">
      <c r="A181" s="20" t="s">
        <v>83</v>
      </c>
      <c r="B181" s="20" t="s">
        <v>55</v>
      </c>
      <c r="C181" s="20" t="s">
        <v>84</v>
      </c>
      <c r="D181" s="20" t="s">
        <v>39</v>
      </c>
      <c r="E181" s="20" t="s">
        <v>40</v>
      </c>
      <c r="F181" s="37">
        <v>7.01</v>
      </c>
      <c r="G181" s="20" t="s">
        <v>85</v>
      </c>
      <c r="H181" s="20" t="s">
        <v>84</v>
      </c>
      <c r="I181" s="20" t="s">
        <v>86</v>
      </c>
      <c r="J181" s="20" t="s">
        <v>87</v>
      </c>
      <c r="K181" s="20" t="s">
        <v>88</v>
      </c>
      <c r="L181" s="20" t="s">
        <v>45</v>
      </c>
      <c r="M181" s="20" t="s">
        <v>89</v>
      </c>
      <c r="N181" s="20" t="s">
        <v>90</v>
      </c>
    </row>
    <row r="182" ht="60.0" customHeight="1">
      <c r="A182" s="17" t="s">
        <v>83</v>
      </c>
      <c r="B182" s="17" t="s">
        <v>55</v>
      </c>
      <c r="C182" s="17" t="s">
        <v>665</v>
      </c>
      <c r="D182" s="17" t="s">
        <v>127</v>
      </c>
      <c r="E182" s="17" t="s">
        <v>128</v>
      </c>
      <c r="F182" s="36">
        <v>21.01</v>
      </c>
      <c r="G182" s="17" t="s">
        <v>666</v>
      </c>
      <c r="H182" s="17" t="s">
        <v>665</v>
      </c>
      <c r="I182" s="17" t="s">
        <v>667</v>
      </c>
      <c r="J182" s="17" t="s">
        <v>142</v>
      </c>
      <c r="K182" s="17" t="s">
        <v>180</v>
      </c>
      <c r="L182" s="17" t="s">
        <v>45</v>
      </c>
      <c r="M182" s="17" t="s">
        <v>668</v>
      </c>
      <c r="N182" s="17" t="s">
        <v>174</v>
      </c>
    </row>
    <row r="183" ht="60.0" customHeight="1">
      <c r="A183" s="20" t="s">
        <v>83</v>
      </c>
      <c r="B183" s="20" t="s">
        <v>55</v>
      </c>
      <c r="C183" s="20" t="s">
        <v>674</v>
      </c>
      <c r="D183" s="20" t="s">
        <v>149</v>
      </c>
      <c r="E183" s="20" t="s">
        <v>150</v>
      </c>
      <c r="F183" s="37">
        <v>21.59</v>
      </c>
      <c r="G183" s="20" t="s">
        <v>675</v>
      </c>
      <c r="H183" s="20" t="s">
        <v>674</v>
      </c>
      <c r="I183" s="20" t="s">
        <v>676</v>
      </c>
      <c r="J183" s="20" t="s">
        <v>119</v>
      </c>
      <c r="K183" s="20" t="s">
        <v>120</v>
      </c>
      <c r="L183" s="20" t="s">
        <v>45</v>
      </c>
      <c r="M183" s="20" t="s">
        <v>677</v>
      </c>
      <c r="N183" s="20" t="s">
        <v>122</v>
      </c>
    </row>
    <row r="184" ht="60.0" customHeight="1">
      <c r="A184" s="17" t="s">
        <v>83</v>
      </c>
      <c r="B184" s="17" t="s">
        <v>55</v>
      </c>
      <c r="C184" s="17" t="s">
        <v>898</v>
      </c>
      <c r="D184" s="17" t="s">
        <v>39</v>
      </c>
      <c r="E184" s="17" t="s">
        <v>40</v>
      </c>
      <c r="F184" s="36">
        <v>53.85</v>
      </c>
      <c r="G184" s="17" t="s">
        <v>901</v>
      </c>
      <c r="H184" s="17" t="s">
        <v>898</v>
      </c>
      <c r="I184" s="17" t="s">
        <v>208</v>
      </c>
      <c r="J184" s="17" t="s">
        <v>97</v>
      </c>
      <c r="K184" s="17" t="s">
        <v>98</v>
      </c>
      <c r="L184" s="17" t="s">
        <v>45</v>
      </c>
      <c r="M184" s="17" t="s">
        <v>902</v>
      </c>
      <c r="N184" s="17" t="s">
        <v>64</v>
      </c>
    </row>
    <row r="185" ht="60.0" customHeight="1">
      <c r="A185" s="20" t="s">
        <v>83</v>
      </c>
      <c r="B185" s="20" t="s">
        <v>55</v>
      </c>
      <c r="C185" s="20" t="s">
        <v>92</v>
      </c>
      <c r="D185" s="20" t="s">
        <v>138</v>
      </c>
      <c r="E185" s="20" t="s">
        <v>139</v>
      </c>
      <c r="F185" s="37">
        <v>116.73</v>
      </c>
      <c r="G185" s="20" t="s">
        <v>334</v>
      </c>
      <c r="H185" s="20" t="s">
        <v>92</v>
      </c>
      <c r="I185" s="20" t="s">
        <v>208</v>
      </c>
      <c r="J185" s="20" t="s">
        <v>97</v>
      </c>
      <c r="K185" s="20" t="s">
        <v>98</v>
      </c>
      <c r="L185" s="20" t="s">
        <v>45</v>
      </c>
      <c r="M185" s="20" t="s">
        <v>335</v>
      </c>
      <c r="N185" s="20" t="s">
        <v>64</v>
      </c>
    </row>
    <row r="186" ht="60.0" customHeight="1">
      <c r="A186" s="17" t="s">
        <v>83</v>
      </c>
      <c r="B186" s="17" t="s">
        <v>55</v>
      </c>
      <c r="C186" s="17" t="s">
        <v>820</v>
      </c>
      <c r="D186" s="17" t="s">
        <v>39</v>
      </c>
      <c r="E186" s="17" t="s">
        <v>40</v>
      </c>
      <c r="F186" s="36">
        <v>642.17</v>
      </c>
      <c r="G186" s="17" t="s">
        <v>1359</v>
      </c>
      <c r="H186" s="17" t="s">
        <v>820</v>
      </c>
      <c r="I186" s="17" t="s">
        <v>822</v>
      </c>
      <c r="J186" s="17" t="s">
        <v>43</v>
      </c>
      <c r="K186" s="17" t="s">
        <v>823</v>
      </c>
      <c r="L186" s="17" t="s">
        <v>45</v>
      </c>
      <c r="M186" s="17" t="s">
        <v>1360</v>
      </c>
      <c r="N186" s="17" t="s">
        <v>182</v>
      </c>
    </row>
    <row r="187" ht="60.0" customHeight="1">
      <c r="A187" s="20" t="s">
        <v>83</v>
      </c>
      <c r="B187" s="20" t="s">
        <v>55</v>
      </c>
      <c r="C187" s="20" t="s">
        <v>554</v>
      </c>
      <c r="D187" s="20" t="s">
        <v>353</v>
      </c>
      <c r="E187" s="20" t="s">
        <v>354</v>
      </c>
      <c r="F187" s="37">
        <v>24.03</v>
      </c>
      <c r="G187" s="20" t="s">
        <v>698</v>
      </c>
      <c r="H187" s="20" t="s">
        <v>554</v>
      </c>
      <c r="I187" s="20" t="s">
        <v>188</v>
      </c>
      <c r="J187" s="20" t="s">
        <v>189</v>
      </c>
      <c r="K187" s="20" t="s">
        <v>190</v>
      </c>
      <c r="L187" s="20" t="s">
        <v>45</v>
      </c>
      <c r="M187" s="20" t="s">
        <v>699</v>
      </c>
      <c r="N187" s="20" t="s">
        <v>64</v>
      </c>
    </row>
    <row r="188" ht="60.0" customHeight="1">
      <c r="A188" s="17" t="s">
        <v>83</v>
      </c>
      <c r="B188" s="17" t="s">
        <v>55</v>
      </c>
      <c r="C188" s="17" t="s">
        <v>554</v>
      </c>
      <c r="D188" s="17" t="s">
        <v>353</v>
      </c>
      <c r="E188" s="17" t="s">
        <v>354</v>
      </c>
      <c r="F188" s="36">
        <v>100.0</v>
      </c>
      <c r="G188" s="17" t="s">
        <v>1047</v>
      </c>
      <c r="H188" s="17" t="s">
        <v>554</v>
      </c>
      <c r="I188" s="17" t="s">
        <v>188</v>
      </c>
      <c r="J188" s="17" t="s">
        <v>189</v>
      </c>
      <c r="K188" s="17" t="s">
        <v>190</v>
      </c>
      <c r="L188" s="17" t="s">
        <v>45</v>
      </c>
      <c r="M188" s="17" t="s">
        <v>1048</v>
      </c>
      <c r="N188" s="17" t="s">
        <v>64</v>
      </c>
    </row>
    <row r="189" ht="60.0" customHeight="1">
      <c r="A189" s="20" t="s">
        <v>83</v>
      </c>
      <c r="B189" s="20" t="s">
        <v>55</v>
      </c>
      <c r="C189" s="20" t="s">
        <v>1264</v>
      </c>
      <c r="D189" s="20" t="s">
        <v>353</v>
      </c>
      <c r="E189" s="20" t="s">
        <v>354</v>
      </c>
      <c r="F189" s="37">
        <v>257.54</v>
      </c>
      <c r="G189" s="20" t="s">
        <v>1265</v>
      </c>
      <c r="H189" s="20" t="s">
        <v>1264</v>
      </c>
      <c r="I189" s="20" t="s">
        <v>1266</v>
      </c>
      <c r="J189" s="20" t="s">
        <v>1267</v>
      </c>
      <c r="K189" s="20" t="s">
        <v>1268</v>
      </c>
      <c r="L189" s="20" t="s">
        <v>45</v>
      </c>
      <c r="M189" s="20" t="s">
        <v>1269</v>
      </c>
      <c r="N189" s="20" t="s">
        <v>423</v>
      </c>
    </row>
    <row r="190" ht="60.0" customHeight="1">
      <c r="A190" s="17" t="s">
        <v>83</v>
      </c>
      <c r="B190" s="17" t="s">
        <v>55</v>
      </c>
      <c r="C190" s="17" t="s">
        <v>228</v>
      </c>
      <c r="D190" s="17" t="s">
        <v>149</v>
      </c>
      <c r="E190" s="17" t="s">
        <v>150</v>
      </c>
      <c r="F190" s="36">
        <v>75.77</v>
      </c>
      <c r="G190" s="17" t="s">
        <v>976</v>
      </c>
      <c r="H190" s="17" t="s">
        <v>228</v>
      </c>
      <c r="I190" s="17" t="s">
        <v>230</v>
      </c>
      <c r="J190" s="17" t="s">
        <v>119</v>
      </c>
      <c r="K190" s="17" t="s">
        <v>231</v>
      </c>
      <c r="L190" s="17" t="s">
        <v>45</v>
      </c>
      <c r="M190" s="17" t="s">
        <v>977</v>
      </c>
      <c r="N190" s="17" t="s">
        <v>64</v>
      </c>
    </row>
    <row r="191" ht="60.0" customHeight="1">
      <c r="A191" s="20" t="s">
        <v>83</v>
      </c>
      <c r="B191" s="20" t="s">
        <v>55</v>
      </c>
      <c r="C191" s="20" t="s">
        <v>636</v>
      </c>
      <c r="D191" s="20" t="s">
        <v>57</v>
      </c>
      <c r="E191" s="20" t="s">
        <v>58</v>
      </c>
      <c r="F191" s="37">
        <v>68.3</v>
      </c>
      <c r="G191" s="20" t="s">
        <v>944</v>
      </c>
      <c r="H191" s="20" t="s">
        <v>636</v>
      </c>
      <c r="I191" s="20" t="s">
        <v>638</v>
      </c>
      <c r="J191" s="20" t="s">
        <v>613</v>
      </c>
      <c r="K191" s="20" t="s">
        <v>614</v>
      </c>
      <c r="L191" s="20" t="s">
        <v>45</v>
      </c>
      <c r="M191" s="20" t="s">
        <v>945</v>
      </c>
      <c r="N191" s="20" t="s">
        <v>64</v>
      </c>
    </row>
    <row r="192" ht="60.0" customHeight="1">
      <c r="A192" s="17" t="s">
        <v>83</v>
      </c>
      <c r="B192" s="17" t="s">
        <v>55</v>
      </c>
      <c r="C192" s="17" t="s">
        <v>760</v>
      </c>
      <c r="D192" s="17" t="s">
        <v>39</v>
      </c>
      <c r="E192" s="17" t="s">
        <v>40</v>
      </c>
      <c r="F192" s="36">
        <v>40.0</v>
      </c>
      <c r="G192" s="17" t="s">
        <v>816</v>
      </c>
      <c r="H192" s="17" t="s">
        <v>760</v>
      </c>
      <c r="I192" s="17" t="s">
        <v>762</v>
      </c>
      <c r="J192" s="17" t="s">
        <v>43</v>
      </c>
      <c r="K192" s="17" t="s">
        <v>44</v>
      </c>
      <c r="L192" s="17" t="s">
        <v>45</v>
      </c>
      <c r="M192" s="17" t="s">
        <v>817</v>
      </c>
      <c r="N192" s="17" t="s">
        <v>64</v>
      </c>
    </row>
    <row r="193" ht="60.0" customHeight="1">
      <c r="A193" s="20" t="s">
        <v>83</v>
      </c>
      <c r="B193" s="20" t="s">
        <v>55</v>
      </c>
      <c r="C193" s="20" t="s">
        <v>929</v>
      </c>
      <c r="D193" s="20" t="s">
        <v>39</v>
      </c>
      <c r="E193" s="20" t="s">
        <v>40</v>
      </c>
      <c r="F193" s="37">
        <v>65.0</v>
      </c>
      <c r="G193" s="20" t="s">
        <v>930</v>
      </c>
      <c r="H193" s="20" t="s">
        <v>929</v>
      </c>
      <c r="I193" s="20" t="s">
        <v>931</v>
      </c>
      <c r="J193" s="20" t="s">
        <v>932</v>
      </c>
      <c r="K193" s="20" t="s">
        <v>933</v>
      </c>
      <c r="L193" s="20" t="s">
        <v>45</v>
      </c>
      <c r="M193" s="20" t="s">
        <v>934</v>
      </c>
      <c r="N193" s="20" t="s">
        <v>935</v>
      </c>
    </row>
    <row r="194" ht="60.0" customHeight="1">
      <c r="A194" s="17" t="s">
        <v>83</v>
      </c>
      <c r="B194" s="17" t="s">
        <v>55</v>
      </c>
      <c r="C194" s="17" t="s">
        <v>669</v>
      </c>
      <c r="D194" s="17" t="s">
        <v>149</v>
      </c>
      <c r="E194" s="17" t="s">
        <v>150</v>
      </c>
      <c r="F194" s="36">
        <v>21.03</v>
      </c>
      <c r="G194" s="17" t="s">
        <v>670</v>
      </c>
      <c r="H194" s="17" t="s">
        <v>669</v>
      </c>
      <c r="I194" s="17" t="s">
        <v>671</v>
      </c>
      <c r="J194" s="17" t="s">
        <v>119</v>
      </c>
      <c r="K194" s="17" t="s">
        <v>672</v>
      </c>
      <c r="L194" s="17" t="s">
        <v>45</v>
      </c>
      <c r="M194" s="17" t="s">
        <v>673</v>
      </c>
      <c r="N194" s="17" t="s">
        <v>182</v>
      </c>
    </row>
    <row r="195" ht="60.0" customHeight="1">
      <c r="A195" s="20" t="s">
        <v>83</v>
      </c>
      <c r="B195" s="20" t="s">
        <v>55</v>
      </c>
      <c r="C195" s="20" t="s">
        <v>704</v>
      </c>
      <c r="D195" s="20" t="s">
        <v>353</v>
      </c>
      <c r="E195" s="20" t="s">
        <v>354</v>
      </c>
      <c r="F195" s="37">
        <v>200.0</v>
      </c>
      <c r="G195" s="20" t="s">
        <v>1232</v>
      </c>
      <c r="H195" s="20" t="s">
        <v>704</v>
      </c>
      <c r="I195" s="20" t="s">
        <v>706</v>
      </c>
      <c r="J195" s="20" t="s">
        <v>707</v>
      </c>
      <c r="K195" s="20" t="s">
        <v>708</v>
      </c>
      <c r="L195" s="20" t="s">
        <v>45</v>
      </c>
      <c r="M195" s="20" t="s">
        <v>1233</v>
      </c>
      <c r="N195" s="20" t="s">
        <v>64</v>
      </c>
    </row>
    <row r="196" ht="60.0" customHeight="1">
      <c r="A196" s="17" t="s">
        <v>83</v>
      </c>
      <c r="B196" s="17" t="s">
        <v>55</v>
      </c>
      <c r="C196" s="17" t="s">
        <v>1030</v>
      </c>
      <c r="D196" s="17" t="s">
        <v>39</v>
      </c>
      <c r="E196" s="17" t="s">
        <v>40</v>
      </c>
      <c r="F196" s="36">
        <v>95.91</v>
      </c>
      <c r="G196" s="17" t="s">
        <v>1031</v>
      </c>
      <c r="H196" s="17" t="s">
        <v>1030</v>
      </c>
      <c r="I196" s="17" t="s">
        <v>1032</v>
      </c>
      <c r="J196" s="17" t="s">
        <v>43</v>
      </c>
      <c r="K196" s="17" t="s">
        <v>44</v>
      </c>
      <c r="L196" s="17" t="s">
        <v>45</v>
      </c>
      <c r="M196" s="17" t="s">
        <v>1033</v>
      </c>
      <c r="N196" s="17" t="s">
        <v>417</v>
      </c>
    </row>
    <row r="197" ht="60.0" customHeight="1">
      <c r="A197" s="20" t="s">
        <v>83</v>
      </c>
      <c r="B197" s="20" t="s">
        <v>55</v>
      </c>
      <c r="C197" s="20" t="s">
        <v>766</v>
      </c>
      <c r="D197" s="20" t="s">
        <v>127</v>
      </c>
      <c r="E197" s="20" t="s">
        <v>128</v>
      </c>
      <c r="F197" s="37">
        <v>35.78</v>
      </c>
      <c r="G197" s="20" t="s">
        <v>795</v>
      </c>
      <c r="H197" s="20" t="s">
        <v>766</v>
      </c>
      <c r="I197" s="20" t="s">
        <v>768</v>
      </c>
      <c r="J197" s="20" t="s">
        <v>142</v>
      </c>
      <c r="K197" s="20" t="s">
        <v>166</v>
      </c>
      <c r="L197" s="20" t="s">
        <v>45</v>
      </c>
      <c r="M197" s="20" t="s">
        <v>796</v>
      </c>
      <c r="N197" s="20" t="s">
        <v>74</v>
      </c>
    </row>
    <row r="198" ht="60.0" customHeight="1">
      <c r="A198" s="17" t="s">
        <v>233</v>
      </c>
      <c r="B198" s="17" t="s">
        <v>55</v>
      </c>
      <c r="C198" s="17" t="s">
        <v>1011</v>
      </c>
      <c r="D198" s="17" t="s">
        <v>39</v>
      </c>
      <c r="E198" s="17" t="s">
        <v>40</v>
      </c>
      <c r="F198" s="36">
        <v>86.3</v>
      </c>
      <c r="G198" s="17" t="s">
        <v>1012</v>
      </c>
      <c r="H198" s="17" t="s">
        <v>1011</v>
      </c>
      <c r="I198" s="17" t="s">
        <v>1013</v>
      </c>
      <c r="J198" s="17" t="s">
        <v>955</v>
      </c>
      <c r="K198" s="17" t="s">
        <v>1014</v>
      </c>
      <c r="L198" s="17" t="s">
        <v>45</v>
      </c>
      <c r="M198" s="17" t="s">
        <v>1015</v>
      </c>
      <c r="N198" s="17" t="s">
        <v>174</v>
      </c>
    </row>
    <row r="199" ht="60.0" customHeight="1">
      <c r="A199" s="20" t="s">
        <v>233</v>
      </c>
      <c r="B199" s="20" t="s">
        <v>55</v>
      </c>
      <c r="C199" s="20" t="s">
        <v>952</v>
      </c>
      <c r="D199" s="20" t="s">
        <v>39</v>
      </c>
      <c r="E199" s="20" t="s">
        <v>40</v>
      </c>
      <c r="F199" s="37">
        <v>69.46</v>
      </c>
      <c r="G199" s="20" t="s">
        <v>953</v>
      </c>
      <c r="H199" s="20" t="s">
        <v>952</v>
      </c>
      <c r="I199" s="20" t="s">
        <v>954</v>
      </c>
      <c r="J199" s="20" t="s">
        <v>955</v>
      </c>
      <c r="K199" s="20" t="s">
        <v>956</v>
      </c>
      <c r="L199" s="20" t="s">
        <v>45</v>
      </c>
      <c r="M199" s="20" t="s">
        <v>957</v>
      </c>
      <c r="N199" s="20" t="s">
        <v>174</v>
      </c>
    </row>
    <row r="200" ht="60.0" customHeight="1">
      <c r="A200" s="17" t="s">
        <v>233</v>
      </c>
      <c r="B200" s="17" t="s">
        <v>55</v>
      </c>
      <c r="C200" s="17" t="s">
        <v>700</v>
      </c>
      <c r="D200" s="17" t="s">
        <v>149</v>
      </c>
      <c r="E200" s="17" t="s">
        <v>150</v>
      </c>
      <c r="F200" s="36">
        <v>27.61</v>
      </c>
      <c r="G200" s="17" t="s">
        <v>733</v>
      </c>
      <c r="H200" s="17" t="s">
        <v>700</v>
      </c>
      <c r="I200" s="17" t="s">
        <v>702</v>
      </c>
      <c r="J200" s="17" t="s">
        <v>71</v>
      </c>
      <c r="K200" s="17" t="s">
        <v>112</v>
      </c>
      <c r="L200" s="17" t="s">
        <v>45</v>
      </c>
      <c r="M200" s="17" t="s">
        <v>734</v>
      </c>
      <c r="N200" s="17" t="s">
        <v>114</v>
      </c>
    </row>
    <row r="201" ht="60.0" customHeight="1">
      <c r="A201" s="20" t="s">
        <v>233</v>
      </c>
      <c r="B201" s="20" t="s">
        <v>55</v>
      </c>
      <c r="C201" s="20" t="s">
        <v>809</v>
      </c>
      <c r="D201" s="20" t="s">
        <v>39</v>
      </c>
      <c r="E201" s="20" t="s">
        <v>40</v>
      </c>
      <c r="F201" s="37">
        <v>54.01</v>
      </c>
      <c r="G201" s="20" t="s">
        <v>903</v>
      </c>
      <c r="H201" s="20" t="s">
        <v>809</v>
      </c>
      <c r="I201" s="20" t="s">
        <v>60</v>
      </c>
      <c r="J201" s="20" t="s">
        <v>61</v>
      </c>
      <c r="K201" s="20" t="s">
        <v>62</v>
      </c>
      <c r="L201" s="20" t="s">
        <v>45</v>
      </c>
      <c r="M201" s="20" t="s">
        <v>904</v>
      </c>
      <c r="N201" s="20" t="s">
        <v>64</v>
      </c>
    </row>
    <row r="202" ht="60.0" customHeight="1">
      <c r="A202" s="17" t="s">
        <v>233</v>
      </c>
      <c r="B202" s="17" t="s">
        <v>55</v>
      </c>
      <c r="C202" s="17" t="s">
        <v>573</v>
      </c>
      <c r="D202" s="17" t="s">
        <v>149</v>
      </c>
      <c r="E202" s="17" t="s">
        <v>150</v>
      </c>
      <c r="F202" s="36">
        <v>11.63</v>
      </c>
      <c r="G202" s="17" t="s">
        <v>574</v>
      </c>
      <c r="H202" s="17" t="s">
        <v>573</v>
      </c>
      <c r="I202" s="17" t="s">
        <v>575</v>
      </c>
      <c r="J202" s="17" t="s">
        <v>305</v>
      </c>
      <c r="K202" s="17" t="s">
        <v>576</v>
      </c>
      <c r="L202" s="17" t="s">
        <v>45</v>
      </c>
      <c r="M202" s="17" t="s">
        <v>577</v>
      </c>
      <c r="N202" s="17" t="s">
        <v>114</v>
      </c>
    </row>
    <row r="203" ht="60.0" customHeight="1">
      <c r="A203" s="20" t="s">
        <v>233</v>
      </c>
      <c r="B203" s="20" t="s">
        <v>55</v>
      </c>
      <c r="C203" s="20" t="s">
        <v>528</v>
      </c>
      <c r="D203" s="20" t="s">
        <v>353</v>
      </c>
      <c r="E203" s="20" t="s">
        <v>354</v>
      </c>
      <c r="F203" s="37">
        <v>7.9</v>
      </c>
      <c r="G203" s="20" t="s">
        <v>529</v>
      </c>
      <c r="H203" s="20" t="s">
        <v>528</v>
      </c>
      <c r="I203" s="20" t="s">
        <v>530</v>
      </c>
      <c r="J203" s="20" t="s">
        <v>531</v>
      </c>
      <c r="K203" s="20" t="s">
        <v>532</v>
      </c>
      <c r="L203" s="20" t="s">
        <v>45</v>
      </c>
      <c r="M203" s="20" t="s">
        <v>533</v>
      </c>
      <c r="N203" s="20" t="s">
        <v>534</v>
      </c>
    </row>
    <row r="204" ht="60.0" customHeight="1">
      <c r="A204" s="17" t="s">
        <v>233</v>
      </c>
      <c r="B204" s="17" t="s">
        <v>55</v>
      </c>
      <c r="C204" s="17" t="s">
        <v>898</v>
      </c>
      <c r="D204" s="17" t="s">
        <v>39</v>
      </c>
      <c r="E204" s="17" t="s">
        <v>40</v>
      </c>
      <c r="F204" s="36">
        <v>53.5</v>
      </c>
      <c r="G204" s="17" t="s">
        <v>899</v>
      </c>
      <c r="H204" s="17" t="s">
        <v>898</v>
      </c>
      <c r="I204" s="17" t="s">
        <v>208</v>
      </c>
      <c r="J204" s="17" t="s">
        <v>97</v>
      </c>
      <c r="K204" s="17" t="s">
        <v>98</v>
      </c>
      <c r="L204" s="17" t="s">
        <v>45</v>
      </c>
      <c r="M204" s="17" t="s">
        <v>900</v>
      </c>
      <c r="N204" s="17" t="s">
        <v>64</v>
      </c>
    </row>
    <row r="205" ht="60.0" customHeight="1">
      <c r="A205" s="20" t="s">
        <v>233</v>
      </c>
      <c r="B205" s="20" t="s">
        <v>55</v>
      </c>
      <c r="C205" s="20" t="s">
        <v>92</v>
      </c>
      <c r="D205" s="20" t="s">
        <v>138</v>
      </c>
      <c r="E205" s="20" t="s">
        <v>139</v>
      </c>
      <c r="F205" s="37">
        <v>171.9</v>
      </c>
      <c r="G205" s="20" t="s">
        <v>1171</v>
      </c>
      <c r="H205" s="20" t="s">
        <v>92</v>
      </c>
      <c r="I205" s="20" t="s">
        <v>208</v>
      </c>
      <c r="J205" s="20" t="s">
        <v>97</v>
      </c>
      <c r="K205" s="20" t="s">
        <v>98</v>
      </c>
      <c r="L205" s="20" t="s">
        <v>45</v>
      </c>
      <c r="M205" s="20" t="s">
        <v>1172</v>
      </c>
      <c r="N205" s="20" t="s">
        <v>64</v>
      </c>
    </row>
    <row r="206" ht="60.0" customHeight="1">
      <c r="A206" s="17" t="s">
        <v>233</v>
      </c>
      <c r="B206" s="17" t="s">
        <v>55</v>
      </c>
      <c r="C206" s="17" t="s">
        <v>126</v>
      </c>
      <c r="D206" s="17" t="s">
        <v>149</v>
      </c>
      <c r="E206" s="17" t="s">
        <v>150</v>
      </c>
      <c r="F206" s="36">
        <v>54.6</v>
      </c>
      <c r="G206" s="17" t="s">
        <v>234</v>
      </c>
      <c r="H206" s="17" t="s">
        <v>126</v>
      </c>
      <c r="I206" s="17" t="s">
        <v>208</v>
      </c>
      <c r="J206" s="17" t="s">
        <v>97</v>
      </c>
      <c r="K206" s="17" t="s">
        <v>98</v>
      </c>
      <c r="L206" s="17" t="s">
        <v>45</v>
      </c>
      <c r="M206" s="17" t="s">
        <v>235</v>
      </c>
      <c r="N206" s="17" t="s">
        <v>64</v>
      </c>
    </row>
    <row r="207" ht="60.0" customHeight="1">
      <c r="A207" s="20" t="s">
        <v>233</v>
      </c>
      <c r="B207" s="20" t="s">
        <v>55</v>
      </c>
      <c r="C207" s="20" t="s">
        <v>436</v>
      </c>
      <c r="D207" s="20" t="s">
        <v>39</v>
      </c>
      <c r="E207" s="20" t="s">
        <v>40</v>
      </c>
      <c r="F207" s="37">
        <v>1583.62</v>
      </c>
      <c r="G207" s="20" t="s">
        <v>1373</v>
      </c>
      <c r="H207" s="20" t="s">
        <v>436</v>
      </c>
      <c r="I207" s="20" t="s">
        <v>438</v>
      </c>
      <c r="J207" s="20" t="s">
        <v>371</v>
      </c>
      <c r="K207" s="20" t="s">
        <v>372</v>
      </c>
      <c r="L207" s="20" t="s">
        <v>45</v>
      </c>
      <c r="M207" s="20" t="s">
        <v>1374</v>
      </c>
      <c r="N207" s="20" t="s">
        <v>174</v>
      </c>
    </row>
    <row r="208" ht="60.0" customHeight="1">
      <c r="A208" s="17" t="s">
        <v>233</v>
      </c>
      <c r="B208" s="17" t="s">
        <v>55</v>
      </c>
      <c r="C208" s="17" t="s">
        <v>745</v>
      </c>
      <c r="D208" s="17" t="s">
        <v>39</v>
      </c>
      <c r="E208" s="17" t="s">
        <v>40</v>
      </c>
      <c r="F208" s="36">
        <v>29.51</v>
      </c>
      <c r="G208" s="17" t="s">
        <v>746</v>
      </c>
      <c r="H208" s="17" t="s">
        <v>745</v>
      </c>
      <c r="I208" s="17" t="s">
        <v>188</v>
      </c>
      <c r="J208" s="17" t="s">
        <v>189</v>
      </c>
      <c r="K208" s="17" t="s">
        <v>190</v>
      </c>
      <c r="L208" s="17" t="s">
        <v>45</v>
      </c>
      <c r="M208" s="17" t="s">
        <v>747</v>
      </c>
      <c r="N208" s="17" t="s">
        <v>64</v>
      </c>
    </row>
    <row r="209" ht="60.0" customHeight="1">
      <c r="A209" s="20" t="s">
        <v>233</v>
      </c>
      <c r="B209" s="20" t="s">
        <v>55</v>
      </c>
      <c r="C209" s="20" t="s">
        <v>451</v>
      </c>
      <c r="D209" s="20" t="s">
        <v>149</v>
      </c>
      <c r="E209" s="20" t="s">
        <v>150</v>
      </c>
      <c r="F209" s="37">
        <v>356.08</v>
      </c>
      <c r="G209" s="20" t="s">
        <v>452</v>
      </c>
      <c r="H209" s="20" t="s">
        <v>451</v>
      </c>
      <c r="I209" s="20" t="s">
        <v>453</v>
      </c>
      <c r="J209" s="20" t="s">
        <v>454</v>
      </c>
      <c r="K209" s="20" t="s">
        <v>455</v>
      </c>
      <c r="L209" s="20" t="s">
        <v>45</v>
      </c>
      <c r="M209" s="20" t="s">
        <v>456</v>
      </c>
      <c r="N209" s="20" t="s">
        <v>64</v>
      </c>
    </row>
    <row r="210" ht="60.0" customHeight="1">
      <c r="A210" s="17" t="s">
        <v>233</v>
      </c>
      <c r="B210" s="17" t="s">
        <v>55</v>
      </c>
      <c r="C210" s="17" t="s">
        <v>1282</v>
      </c>
      <c r="D210" s="17" t="s">
        <v>149</v>
      </c>
      <c r="E210" s="17" t="s">
        <v>150</v>
      </c>
      <c r="F210" s="36">
        <v>271.33</v>
      </c>
      <c r="G210" s="17" t="s">
        <v>1283</v>
      </c>
      <c r="H210" s="17" t="s">
        <v>1282</v>
      </c>
      <c r="I210" s="17" t="s">
        <v>1284</v>
      </c>
      <c r="J210" s="17" t="s">
        <v>1285</v>
      </c>
      <c r="K210" s="17" t="s">
        <v>1286</v>
      </c>
      <c r="L210" s="17" t="s">
        <v>45</v>
      </c>
      <c r="M210" s="17" t="s">
        <v>1287</v>
      </c>
      <c r="N210" s="17" t="s">
        <v>174</v>
      </c>
    </row>
    <row r="211" ht="60.0" customHeight="1">
      <c r="A211" s="20" t="s">
        <v>233</v>
      </c>
      <c r="B211" s="20" t="s">
        <v>55</v>
      </c>
      <c r="C211" s="20" t="s">
        <v>397</v>
      </c>
      <c r="D211" s="20" t="s">
        <v>93</v>
      </c>
      <c r="E211" s="20" t="s">
        <v>94</v>
      </c>
      <c r="F211" s="37">
        <v>186.74</v>
      </c>
      <c r="G211" s="20" t="s">
        <v>398</v>
      </c>
      <c r="H211" s="20" t="s">
        <v>397</v>
      </c>
      <c r="I211" s="20" t="s">
        <v>399</v>
      </c>
      <c r="J211" s="20" t="s">
        <v>400</v>
      </c>
      <c r="K211" s="20" t="s">
        <v>401</v>
      </c>
      <c r="L211" s="20" t="s">
        <v>45</v>
      </c>
      <c r="M211" s="20" t="s">
        <v>402</v>
      </c>
      <c r="N211" s="20" t="s">
        <v>403</v>
      </c>
    </row>
    <row r="212" ht="60.0" customHeight="1">
      <c r="A212" s="17" t="s">
        <v>233</v>
      </c>
      <c r="B212" s="17" t="s">
        <v>55</v>
      </c>
      <c r="C212" s="17" t="s">
        <v>465</v>
      </c>
      <c r="D212" s="17" t="s">
        <v>127</v>
      </c>
      <c r="E212" s="17" t="s">
        <v>128</v>
      </c>
      <c r="F212" s="36">
        <v>533.68</v>
      </c>
      <c r="G212" s="17" t="s">
        <v>472</v>
      </c>
      <c r="H212" s="17" t="s">
        <v>465</v>
      </c>
      <c r="I212" s="17" t="s">
        <v>467</v>
      </c>
      <c r="J212" s="17" t="s">
        <v>142</v>
      </c>
      <c r="K212" s="17" t="s">
        <v>468</v>
      </c>
      <c r="L212" s="17" t="s">
        <v>45</v>
      </c>
      <c r="M212" s="17" t="s">
        <v>473</v>
      </c>
      <c r="N212" s="17" t="s">
        <v>308</v>
      </c>
    </row>
    <row r="213" ht="60.0" customHeight="1">
      <c r="A213" s="20" t="s">
        <v>233</v>
      </c>
      <c r="B213" s="20" t="s">
        <v>55</v>
      </c>
      <c r="C213" s="20" t="s">
        <v>465</v>
      </c>
      <c r="D213" s="20" t="s">
        <v>127</v>
      </c>
      <c r="E213" s="20" t="s">
        <v>128</v>
      </c>
      <c r="F213" s="37">
        <v>533.68</v>
      </c>
      <c r="G213" s="20" t="s">
        <v>474</v>
      </c>
      <c r="H213" s="20" t="s">
        <v>465</v>
      </c>
      <c r="I213" s="20" t="s">
        <v>467</v>
      </c>
      <c r="J213" s="20" t="s">
        <v>142</v>
      </c>
      <c r="K213" s="20" t="s">
        <v>468</v>
      </c>
      <c r="L213" s="20" t="s">
        <v>45</v>
      </c>
      <c r="M213" s="20" t="s">
        <v>475</v>
      </c>
      <c r="N213" s="20" t="s">
        <v>308</v>
      </c>
    </row>
    <row r="214" ht="60.0" customHeight="1">
      <c r="A214" s="17" t="s">
        <v>233</v>
      </c>
      <c r="B214" s="17" t="s">
        <v>55</v>
      </c>
      <c r="C214" s="17" t="s">
        <v>1140</v>
      </c>
      <c r="D214" s="17" t="s">
        <v>39</v>
      </c>
      <c r="E214" s="17" t="s">
        <v>40</v>
      </c>
      <c r="F214" s="36">
        <v>151.68</v>
      </c>
      <c r="G214" s="17" t="s">
        <v>1141</v>
      </c>
      <c r="H214" s="17" t="s">
        <v>1140</v>
      </c>
      <c r="I214" s="17" t="s">
        <v>1142</v>
      </c>
      <c r="J214" s="17" t="s">
        <v>119</v>
      </c>
      <c r="K214" s="17" t="s">
        <v>231</v>
      </c>
      <c r="L214" s="17" t="s">
        <v>45</v>
      </c>
      <c r="M214" s="17" t="s">
        <v>1143</v>
      </c>
      <c r="N214" s="17" t="s">
        <v>1144</v>
      </c>
    </row>
    <row r="215" ht="60.0" customHeight="1">
      <c r="A215" s="20" t="s">
        <v>233</v>
      </c>
      <c r="B215" s="20" t="s">
        <v>55</v>
      </c>
      <c r="C215" s="20" t="s">
        <v>587</v>
      </c>
      <c r="D215" s="20" t="s">
        <v>127</v>
      </c>
      <c r="E215" s="20" t="s">
        <v>128</v>
      </c>
      <c r="F215" s="37">
        <v>20.33</v>
      </c>
      <c r="G215" s="20" t="s">
        <v>663</v>
      </c>
      <c r="H215" s="20" t="s">
        <v>587</v>
      </c>
      <c r="I215" s="20" t="s">
        <v>589</v>
      </c>
      <c r="J215" s="20" t="s">
        <v>142</v>
      </c>
      <c r="K215" s="20" t="s">
        <v>166</v>
      </c>
      <c r="L215" s="20" t="s">
        <v>45</v>
      </c>
      <c r="M215" s="20" t="s">
        <v>664</v>
      </c>
      <c r="N215" s="20" t="s">
        <v>64</v>
      </c>
    </row>
    <row r="216" ht="60.0" customHeight="1">
      <c r="A216" s="17" t="s">
        <v>233</v>
      </c>
      <c r="B216" s="17" t="s">
        <v>55</v>
      </c>
      <c r="C216" s="17" t="s">
        <v>766</v>
      </c>
      <c r="D216" s="17" t="s">
        <v>127</v>
      </c>
      <c r="E216" s="17" t="s">
        <v>128</v>
      </c>
      <c r="F216" s="36">
        <v>32.17</v>
      </c>
      <c r="G216" s="17" t="s">
        <v>767</v>
      </c>
      <c r="H216" s="17" t="s">
        <v>766</v>
      </c>
      <c r="I216" s="17" t="s">
        <v>768</v>
      </c>
      <c r="J216" s="17" t="s">
        <v>142</v>
      </c>
      <c r="K216" s="17" t="s">
        <v>166</v>
      </c>
      <c r="L216" s="17" t="s">
        <v>45</v>
      </c>
      <c r="M216" s="17" t="s">
        <v>769</v>
      </c>
      <c r="N216" s="17" t="s">
        <v>74</v>
      </c>
    </row>
    <row r="217" ht="60.0" customHeight="1">
      <c r="A217" s="20" t="s">
        <v>108</v>
      </c>
      <c r="B217" s="20" t="s">
        <v>55</v>
      </c>
      <c r="C217" s="20" t="s">
        <v>1149</v>
      </c>
      <c r="D217" s="20" t="s">
        <v>67</v>
      </c>
      <c r="E217" s="20" t="s">
        <v>68</v>
      </c>
      <c r="F217" s="37">
        <v>154.05</v>
      </c>
      <c r="G217" s="20" t="s">
        <v>1150</v>
      </c>
      <c r="H217" s="20" t="s">
        <v>1149</v>
      </c>
      <c r="I217" s="20" t="s">
        <v>1151</v>
      </c>
      <c r="J217" s="20" t="s">
        <v>1152</v>
      </c>
      <c r="K217" s="20" t="s">
        <v>1153</v>
      </c>
      <c r="L217" s="20" t="s">
        <v>45</v>
      </c>
      <c r="M217" s="20" t="s">
        <v>1154</v>
      </c>
      <c r="N217" s="20" t="s">
        <v>403</v>
      </c>
    </row>
    <row r="218" ht="60.0" customHeight="1">
      <c r="A218" s="17" t="s">
        <v>108</v>
      </c>
      <c r="B218" s="17" t="s">
        <v>55</v>
      </c>
      <c r="C218" s="17" t="s">
        <v>157</v>
      </c>
      <c r="D218" s="17" t="s">
        <v>93</v>
      </c>
      <c r="E218" s="17" t="s">
        <v>94</v>
      </c>
      <c r="F218" s="36">
        <v>71.95</v>
      </c>
      <c r="G218" s="17" t="s">
        <v>255</v>
      </c>
      <c r="H218" s="17" t="s">
        <v>159</v>
      </c>
      <c r="I218" s="17" t="s">
        <v>86</v>
      </c>
      <c r="J218" s="17" t="s">
        <v>87</v>
      </c>
      <c r="K218" s="17" t="s">
        <v>88</v>
      </c>
      <c r="L218" s="17" t="s">
        <v>45</v>
      </c>
      <c r="M218" s="17" t="s">
        <v>256</v>
      </c>
      <c r="N218" s="17" t="s">
        <v>90</v>
      </c>
    </row>
    <row r="219" ht="60.0" customHeight="1">
      <c r="A219" s="20" t="s">
        <v>108</v>
      </c>
      <c r="B219" s="20" t="s">
        <v>55</v>
      </c>
      <c r="C219" s="20" t="s">
        <v>1338</v>
      </c>
      <c r="D219" s="20" t="s">
        <v>39</v>
      </c>
      <c r="E219" s="20" t="s">
        <v>40</v>
      </c>
      <c r="F219" s="37">
        <v>414.72</v>
      </c>
      <c r="G219" s="20" t="s">
        <v>1339</v>
      </c>
      <c r="H219" s="20" t="s">
        <v>1338</v>
      </c>
      <c r="I219" s="20" t="s">
        <v>1340</v>
      </c>
      <c r="J219" s="20" t="s">
        <v>371</v>
      </c>
      <c r="K219" s="20" t="s">
        <v>1341</v>
      </c>
      <c r="L219" s="20" t="s">
        <v>45</v>
      </c>
      <c r="M219" s="20" t="s">
        <v>1342</v>
      </c>
      <c r="N219" s="20" t="s">
        <v>308</v>
      </c>
    </row>
    <row r="220" ht="60.0" customHeight="1">
      <c r="A220" s="17" t="s">
        <v>108</v>
      </c>
      <c r="B220" s="17" t="s">
        <v>55</v>
      </c>
      <c r="C220" s="17" t="s">
        <v>1114</v>
      </c>
      <c r="D220" s="17" t="s">
        <v>39</v>
      </c>
      <c r="E220" s="17" t="s">
        <v>40</v>
      </c>
      <c r="F220" s="36">
        <v>243.24</v>
      </c>
      <c r="G220" s="17" t="s">
        <v>1256</v>
      </c>
      <c r="H220" s="17" t="s">
        <v>1114</v>
      </c>
      <c r="I220" s="17" t="s">
        <v>1116</v>
      </c>
      <c r="J220" s="17" t="s">
        <v>371</v>
      </c>
      <c r="K220" s="17" t="s">
        <v>1117</v>
      </c>
      <c r="L220" s="17" t="s">
        <v>45</v>
      </c>
      <c r="M220" s="17" t="s">
        <v>1257</v>
      </c>
      <c r="N220" s="17" t="s">
        <v>1119</v>
      </c>
    </row>
    <row r="221" ht="60.0" customHeight="1">
      <c r="A221" s="20" t="s">
        <v>108</v>
      </c>
      <c r="B221" s="20" t="s">
        <v>55</v>
      </c>
      <c r="C221" s="20" t="s">
        <v>109</v>
      </c>
      <c r="D221" s="20" t="s">
        <v>57</v>
      </c>
      <c r="E221" s="20" t="s">
        <v>58</v>
      </c>
      <c r="F221" s="37">
        <v>9.99</v>
      </c>
      <c r="G221" s="20" t="s">
        <v>110</v>
      </c>
      <c r="H221" s="20" t="s">
        <v>109</v>
      </c>
      <c r="I221" s="20" t="s">
        <v>111</v>
      </c>
      <c r="J221" s="20" t="s">
        <v>71</v>
      </c>
      <c r="K221" s="20" t="s">
        <v>112</v>
      </c>
      <c r="L221" s="20" t="s">
        <v>45</v>
      </c>
      <c r="M221" s="20" t="s">
        <v>113</v>
      </c>
      <c r="N221" s="20" t="s">
        <v>114</v>
      </c>
    </row>
    <row r="222" ht="60.0" customHeight="1">
      <c r="A222" s="17" t="s">
        <v>108</v>
      </c>
      <c r="B222" s="17" t="s">
        <v>55</v>
      </c>
      <c r="C222" s="17" t="s">
        <v>497</v>
      </c>
      <c r="D222" s="17" t="s">
        <v>57</v>
      </c>
      <c r="E222" s="17" t="s">
        <v>58</v>
      </c>
      <c r="F222" s="36">
        <v>3287.5</v>
      </c>
      <c r="G222" s="17" t="s">
        <v>498</v>
      </c>
      <c r="H222" s="17" t="s">
        <v>497</v>
      </c>
      <c r="I222" s="17" t="s">
        <v>499</v>
      </c>
      <c r="J222" s="17" t="s">
        <v>320</v>
      </c>
      <c r="K222" s="17" t="s">
        <v>500</v>
      </c>
      <c r="L222" s="17" t="s">
        <v>45</v>
      </c>
      <c r="M222" s="17" t="s">
        <v>501</v>
      </c>
      <c r="N222" s="17" t="s">
        <v>502</v>
      </c>
    </row>
    <row r="223" ht="60.0" customHeight="1">
      <c r="A223" s="20" t="s">
        <v>108</v>
      </c>
      <c r="B223" s="20" t="s">
        <v>55</v>
      </c>
      <c r="C223" s="20" t="s">
        <v>192</v>
      </c>
      <c r="D223" s="20" t="s">
        <v>127</v>
      </c>
      <c r="E223" s="20" t="s">
        <v>128</v>
      </c>
      <c r="F223" s="37">
        <v>32.55</v>
      </c>
      <c r="G223" s="20" t="s">
        <v>193</v>
      </c>
      <c r="H223" s="20" t="s">
        <v>192</v>
      </c>
      <c r="I223" s="20" t="s">
        <v>194</v>
      </c>
      <c r="J223" s="20" t="s">
        <v>142</v>
      </c>
      <c r="K223" s="20" t="s">
        <v>166</v>
      </c>
      <c r="L223" s="20" t="s">
        <v>45</v>
      </c>
      <c r="M223" s="20" t="s">
        <v>195</v>
      </c>
      <c r="N223" s="20" t="s">
        <v>114</v>
      </c>
    </row>
    <row r="224" ht="60.0" customHeight="1">
      <c r="A224" s="17" t="s">
        <v>108</v>
      </c>
      <c r="B224" s="17" t="s">
        <v>55</v>
      </c>
      <c r="C224" s="17" t="s">
        <v>560</v>
      </c>
      <c r="D224" s="17" t="s">
        <v>39</v>
      </c>
      <c r="E224" s="17" t="s">
        <v>40</v>
      </c>
      <c r="F224" s="36">
        <v>11.03</v>
      </c>
      <c r="G224" s="17" t="s">
        <v>561</v>
      </c>
      <c r="H224" s="17" t="s">
        <v>560</v>
      </c>
      <c r="I224" s="17" t="s">
        <v>562</v>
      </c>
      <c r="J224" s="17" t="s">
        <v>326</v>
      </c>
      <c r="K224" s="17" t="s">
        <v>563</v>
      </c>
      <c r="L224" s="17" t="s">
        <v>45</v>
      </c>
      <c r="M224" s="17" t="s">
        <v>564</v>
      </c>
      <c r="N224" s="17" t="s">
        <v>64</v>
      </c>
    </row>
    <row r="225" ht="60.0" customHeight="1">
      <c r="A225" s="20" t="s">
        <v>108</v>
      </c>
      <c r="B225" s="20" t="s">
        <v>55</v>
      </c>
      <c r="C225" s="20" t="s">
        <v>560</v>
      </c>
      <c r="D225" s="20" t="s">
        <v>39</v>
      </c>
      <c r="E225" s="20" t="s">
        <v>40</v>
      </c>
      <c r="F225" s="37">
        <v>57.0</v>
      </c>
      <c r="G225" s="20" t="s">
        <v>910</v>
      </c>
      <c r="H225" s="20" t="s">
        <v>560</v>
      </c>
      <c r="I225" s="20" t="s">
        <v>562</v>
      </c>
      <c r="J225" s="20" t="s">
        <v>326</v>
      </c>
      <c r="K225" s="20" t="s">
        <v>563</v>
      </c>
      <c r="L225" s="20" t="s">
        <v>45</v>
      </c>
      <c r="M225" s="20" t="s">
        <v>911</v>
      </c>
      <c r="N225" s="20" t="s">
        <v>64</v>
      </c>
    </row>
    <row r="226" ht="60.0" customHeight="1">
      <c r="A226" s="17" t="s">
        <v>108</v>
      </c>
      <c r="B226" s="17" t="s">
        <v>55</v>
      </c>
      <c r="C226" s="17" t="s">
        <v>560</v>
      </c>
      <c r="D226" s="17" t="s">
        <v>39</v>
      </c>
      <c r="E226" s="17" t="s">
        <v>40</v>
      </c>
      <c r="F226" s="36">
        <v>81.5</v>
      </c>
      <c r="G226" s="17" t="s">
        <v>995</v>
      </c>
      <c r="H226" s="17" t="s">
        <v>560</v>
      </c>
      <c r="I226" s="17" t="s">
        <v>562</v>
      </c>
      <c r="J226" s="17" t="s">
        <v>326</v>
      </c>
      <c r="K226" s="17" t="s">
        <v>563</v>
      </c>
      <c r="L226" s="17" t="s">
        <v>45</v>
      </c>
      <c r="M226" s="17" t="s">
        <v>996</v>
      </c>
      <c r="N226" s="17" t="s">
        <v>64</v>
      </c>
    </row>
    <row r="227" ht="60.0" customHeight="1">
      <c r="A227" s="20" t="s">
        <v>108</v>
      </c>
      <c r="B227" s="20" t="s">
        <v>55</v>
      </c>
      <c r="C227" s="20" t="s">
        <v>560</v>
      </c>
      <c r="D227" s="20" t="s">
        <v>39</v>
      </c>
      <c r="E227" s="20" t="s">
        <v>40</v>
      </c>
      <c r="F227" s="37">
        <v>170.0</v>
      </c>
      <c r="G227" s="20" t="s">
        <v>1169</v>
      </c>
      <c r="H227" s="20" t="s">
        <v>560</v>
      </c>
      <c r="I227" s="20" t="s">
        <v>562</v>
      </c>
      <c r="J227" s="20" t="s">
        <v>326</v>
      </c>
      <c r="K227" s="20" t="s">
        <v>563</v>
      </c>
      <c r="L227" s="20" t="s">
        <v>45</v>
      </c>
      <c r="M227" s="20" t="s">
        <v>1170</v>
      </c>
      <c r="N227" s="20" t="s">
        <v>64</v>
      </c>
    </row>
    <row r="228" ht="60.0" customHeight="1">
      <c r="A228" s="17" t="s">
        <v>108</v>
      </c>
      <c r="B228" s="17" t="s">
        <v>55</v>
      </c>
      <c r="C228" s="17" t="s">
        <v>859</v>
      </c>
      <c r="D228" s="17" t="s">
        <v>39</v>
      </c>
      <c r="E228" s="17" t="s">
        <v>40</v>
      </c>
      <c r="F228" s="36">
        <v>49.0</v>
      </c>
      <c r="G228" s="17" t="s">
        <v>867</v>
      </c>
      <c r="H228" s="17" t="s">
        <v>859</v>
      </c>
      <c r="I228" s="17" t="s">
        <v>861</v>
      </c>
      <c r="J228" s="17" t="s">
        <v>862</v>
      </c>
      <c r="K228" s="17" t="s">
        <v>863</v>
      </c>
      <c r="L228" s="17" t="s">
        <v>45</v>
      </c>
      <c r="M228" s="17" t="s">
        <v>868</v>
      </c>
      <c r="N228" s="17" t="s">
        <v>64</v>
      </c>
    </row>
    <row r="229" ht="60.0" customHeight="1">
      <c r="A229" s="20" t="s">
        <v>108</v>
      </c>
      <c r="B229" s="20" t="s">
        <v>55</v>
      </c>
      <c r="C229" s="20" t="s">
        <v>92</v>
      </c>
      <c r="D229" s="20" t="s">
        <v>138</v>
      </c>
      <c r="E229" s="20" t="s">
        <v>139</v>
      </c>
      <c r="F229" s="37">
        <v>118.35</v>
      </c>
      <c r="G229" s="20" t="s">
        <v>338</v>
      </c>
      <c r="H229" s="20" t="s">
        <v>92</v>
      </c>
      <c r="I229" s="20" t="s">
        <v>208</v>
      </c>
      <c r="J229" s="20" t="s">
        <v>97</v>
      </c>
      <c r="K229" s="20" t="s">
        <v>98</v>
      </c>
      <c r="L229" s="20" t="s">
        <v>45</v>
      </c>
      <c r="M229" s="20" t="s">
        <v>339</v>
      </c>
      <c r="N229" s="20" t="s">
        <v>64</v>
      </c>
    </row>
    <row r="230" ht="60.0" customHeight="1">
      <c r="A230" s="17" t="s">
        <v>108</v>
      </c>
      <c r="B230" s="17" t="s">
        <v>55</v>
      </c>
      <c r="C230" s="17" t="s">
        <v>92</v>
      </c>
      <c r="D230" s="17" t="s">
        <v>93</v>
      </c>
      <c r="E230" s="17" t="s">
        <v>94</v>
      </c>
      <c r="F230" s="36">
        <v>141.94</v>
      </c>
      <c r="G230" s="17" t="s">
        <v>363</v>
      </c>
      <c r="H230" s="17" t="s">
        <v>92</v>
      </c>
      <c r="I230" s="17" t="s">
        <v>208</v>
      </c>
      <c r="J230" s="17" t="s">
        <v>97</v>
      </c>
      <c r="K230" s="17" t="s">
        <v>98</v>
      </c>
      <c r="L230" s="17" t="s">
        <v>45</v>
      </c>
      <c r="M230" s="17" t="s">
        <v>364</v>
      </c>
      <c r="N230" s="17" t="s">
        <v>64</v>
      </c>
    </row>
    <row r="231" ht="60.0" customHeight="1">
      <c r="A231" s="20" t="s">
        <v>108</v>
      </c>
      <c r="B231" s="20" t="s">
        <v>55</v>
      </c>
      <c r="C231" s="20" t="s">
        <v>833</v>
      </c>
      <c r="D231" s="20" t="s">
        <v>93</v>
      </c>
      <c r="E231" s="20" t="s">
        <v>94</v>
      </c>
      <c r="F231" s="37">
        <v>42.16</v>
      </c>
      <c r="G231" s="20" t="s">
        <v>834</v>
      </c>
      <c r="H231" s="20" t="s">
        <v>833</v>
      </c>
      <c r="I231" s="20" t="s">
        <v>835</v>
      </c>
      <c r="J231" s="20" t="s">
        <v>142</v>
      </c>
      <c r="K231" s="20" t="s">
        <v>143</v>
      </c>
      <c r="L231" s="20" t="s">
        <v>45</v>
      </c>
      <c r="M231" s="20" t="s">
        <v>836</v>
      </c>
      <c r="N231" s="20" t="s">
        <v>74</v>
      </c>
    </row>
    <row r="232" ht="60.0" customHeight="1">
      <c r="A232" s="17" t="s">
        <v>108</v>
      </c>
      <c r="B232" s="17" t="s">
        <v>55</v>
      </c>
      <c r="C232" s="17" t="s">
        <v>833</v>
      </c>
      <c r="D232" s="17" t="s">
        <v>93</v>
      </c>
      <c r="E232" s="17" t="s">
        <v>94</v>
      </c>
      <c r="F232" s="36">
        <v>46.06</v>
      </c>
      <c r="G232" s="17" t="s">
        <v>834</v>
      </c>
      <c r="H232" s="17" t="s">
        <v>833</v>
      </c>
      <c r="I232" s="17" t="s">
        <v>835</v>
      </c>
      <c r="J232" s="17" t="s">
        <v>142</v>
      </c>
      <c r="K232" s="17" t="s">
        <v>143</v>
      </c>
      <c r="L232" s="17" t="s">
        <v>45</v>
      </c>
      <c r="M232" s="17" t="s">
        <v>850</v>
      </c>
      <c r="N232" s="17" t="s">
        <v>74</v>
      </c>
    </row>
    <row r="233" ht="60.0" customHeight="1">
      <c r="A233" s="20" t="s">
        <v>108</v>
      </c>
      <c r="B233" s="20" t="s">
        <v>55</v>
      </c>
      <c r="C233" s="20" t="s">
        <v>66</v>
      </c>
      <c r="D233" s="20" t="s">
        <v>67</v>
      </c>
      <c r="E233" s="20" t="s">
        <v>68</v>
      </c>
      <c r="F233" s="37">
        <v>241.34</v>
      </c>
      <c r="G233" s="20" t="s">
        <v>1254</v>
      </c>
      <c r="H233" s="20" t="s">
        <v>66</v>
      </c>
      <c r="I233" s="20" t="s">
        <v>70</v>
      </c>
      <c r="J233" s="20" t="s">
        <v>71</v>
      </c>
      <c r="K233" s="20" t="s">
        <v>72</v>
      </c>
      <c r="L233" s="20" t="s">
        <v>45</v>
      </c>
      <c r="M233" s="20" t="s">
        <v>1255</v>
      </c>
      <c r="N233" s="20" t="s">
        <v>74</v>
      </c>
    </row>
    <row r="234" ht="60.0" customHeight="1">
      <c r="A234" s="17" t="s">
        <v>108</v>
      </c>
      <c r="B234" s="17" t="s">
        <v>55</v>
      </c>
      <c r="C234" s="17" t="s">
        <v>557</v>
      </c>
      <c r="D234" s="17" t="s">
        <v>149</v>
      </c>
      <c r="E234" s="17" t="s">
        <v>150</v>
      </c>
      <c r="F234" s="36">
        <v>10.96</v>
      </c>
      <c r="G234" s="17" t="s">
        <v>558</v>
      </c>
      <c r="H234" s="17" t="s">
        <v>557</v>
      </c>
      <c r="I234" s="17" t="s">
        <v>188</v>
      </c>
      <c r="J234" s="17" t="s">
        <v>189</v>
      </c>
      <c r="K234" s="17" t="s">
        <v>190</v>
      </c>
      <c r="L234" s="17" t="s">
        <v>45</v>
      </c>
      <c r="M234" s="17" t="s">
        <v>559</v>
      </c>
      <c r="N234" s="17" t="s">
        <v>64</v>
      </c>
    </row>
    <row r="235" ht="60.0" customHeight="1">
      <c r="A235" s="20" t="s">
        <v>108</v>
      </c>
      <c r="B235" s="20" t="s">
        <v>55</v>
      </c>
      <c r="C235" s="20" t="s">
        <v>557</v>
      </c>
      <c r="D235" s="20" t="s">
        <v>149</v>
      </c>
      <c r="E235" s="20" t="s">
        <v>150</v>
      </c>
      <c r="F235" s="37">
        <v>100.0</v>
      </c>
      <c r="G235" s="20" t="s">
        <v>1069</v>
      </c>
      <c r="H235" s="20" t="s">
        <v>557</v>
      </c>
      <c r="I235" s="20" t="s">
        <v>188</v>
      </c>
      <c r="J235" s="20" t="s">
        <v>189</v>
      </c>
      <c r="K235" s="20" t="s">
        <v>190</v>
      </c>
      <c r="L235" s="20" t="s">
        <v>45</v>
      </c>
      <c r="M235" s="20" t="s">
        <v>1070</v>
      </c>
      <c r="N235" s="20" t="s">
        <v>64</v>
      </c>
    </row>
    <row r="236" ht="60.0" customHeight="1">
      <c r="A236" s="17" t="s">
        <v>108</v>
      </c>
      <c r="B236" s="17" t="s">
        <v>55</v>
      </c>
      <c r="C236" s="17" t="s">
        <v>554</v>
      </c>
      <c r="D236" s="17" t="s">
        <v>353</v>
      </c>
      <c r="E236" s="17" t="s">
        <v>354</v>
      </c>
      <c r="F236" s="36">
        <v>34.69</v>
      </c>
      <c r="G236" s="17" t="s">
        <v>789</v>
      </c>
      <c r="H236" s="17" t="s">
        <v>554</v>
      </c>
      <c r="I236" s="17" t="s">
        <v>188</v>
      </c>
      <c r="J236" s="17" t="s">
        <v>189</v>
      </c>
      <c r="K236" s="17" t="s">
        <v>190</v>
      </c>
      <c r="L236" s="17" t="s">
        <v>45</v>
      </c>
      <c r="M236" s="17" t="s">
        <v>790</v>
      </c>
      <c r="N236" s="17" t="s">
        <v>64</v>
      </c>
    </row>
    <row r="237" ht="60.0" customHeight="1">
      <c r="A237" s="20" t="s">
        <v>108</v>
      </c>
      <c r="B237" s="20" t="s">
        <v>55</v>
      </c>
      <c r="C237" s="20" t="s">
        <v>554</v>
      </c>
      <c r="D237" s="20" t="s">
        <v>353</v>
      </c>
      <c r="E237" s="20" t="s">
        <v>354</v>
      </c>
      <c r="F237" s="37">
        <v>200.0</v>
      </c>
      <c r="G237" s="20" t="s">
        <v>1230</v>
      </c>
      <c r="H237" s="20" t="s">
        <v>554</v>
      </c>
      <c r="I237" s="20" t="s">
        <v>188</v>
      </c>
      <c r="J237" s="20" t="s">
        <v>189</v>
      </c>
      <c r="K237" s="20" t="s">
        <v>190</v>
      </c>
      <c r="L237" s="20" t="s">
        <v>45</v>
      </c>
      <c r="M237" s="20" t="s">
        <v>1231</v>
      </c>
      <c r="N237" s="20" t="s">
        <v>64</v>
      </c>
    </row>
    <row r="238" ht="60.0" customHeight="1">
      <c r="A238" s="17" t="s">
        <v>108</v>
      </c>
      <c r="B238" s="17" t="s">
        <v>55</v>
      </c>
      <c r="C238" s="17" t="s">
        <v>1276</v>
      </c>
      <c r="D238" s="17" t="s">
        <v>39</v>
      </c>
      <c r="E238" s="17" t="s">
        <v>40</v>
      </c>
      <c r="F238" s="36">
        <v>396.19</v>
      </c>
      <c r="G238" s="17" t="s">
        <v>1336</v>
      </c>
      <c r="H238" s="17" t="s">
        <v>1276</v>
      </c>
      <c r="I238" s="17" t="s">
        <v>1278</v>
      </c>
      <c r="J238" s="17" t="s">
        <v>1279</v>
      </c>
      <c r="K238" s="17" t="s">
        <v>1280</v>
      </c>
      <c r="L238" s="17" t="s">
        <v>45</v>
      </c>
      <c r="M238" s="17" t="s">
        <v>1337</v>
      </c>
      <c r="N238" s="17" t="s">
        <v>182</v>
      </c>
    </row>
    <row r="239" ht="60.0" customHeight="1">
      <c r="A239" s="20" t="s">
        <v>108</v>
      </c>
      <c r="B239" s="20" t="s">
        <v>55</v>
      </c>
      <c r="C239" s="20" t="s">
        <v>302</v>
      </c>
      <c r="D239" s="20" t="s">
        <v>149</v>
      </c>
      <c r="E239" s="20" t="s">
        <v>150</v>
      </c>
      <c r="F239" s="37">
        <v>79.01</v>
      </c>
      <c r="G239" s="20" t="s">
        <v>991</v>
      </c>
      <c r="H239" s="20" t="s">
        <v>302</v>
      </c>
      <c r="I239" s="20" t="s">
        <v>304</v>
      </c>
      <c r="J239" s="20" t="s">
        <v>305</v>
      </c>
      <c r="K239" s="20" t="s">
        <v>306</v>
      </c>
      <c r="L239" s="20" t="s">
        <v>45</v>
      </c>
      <c r="M239" s="20" t="s">
        <v>992</v>
      </c>
      <c r="N239" s="20" t="s">
        <v>308</v>
      </c>
    </row>
    <row r="240" ht="60.0" customHeight="1">
      <c r="A240" s="17" t="s">
        <v>108</v>
      </c>
      <c r="B240" s="17" t="s">
        <v>55</v>
      </c>
      <c r="C240" s="17" t="s">
        <v>1310</v>
      </c>
      <c r="D240" s="17" t="s">
        <v>39</v>
      </c>
      <c r="E240" s="17" t="s">
        <v>40</v>
      </c>
      <c r="F240" s="36">
        <v>322.29</v>
      </c>
      <c r="G240" s="17" t="s">
        <v>1311</v>
      </c>
      <c r="H240" s="17" t="s">
        <v>1310</v>
      </c>
      <c r="I240" s="17" t="s">
        <v>1312</v>
      </c>
      <c r="J240" s="17" t="s">
        <v>1313</v>
      </c>
      <c r="K240" s="17" t="s">
        <v>1314</v>
      </c>
      <c r="L240" s="17" t="s">
        <v>45</v>
      </c>
      <c r="M240" s="17" t="s">
        <v>1315</v>
      </c>
      <c r="N240" s="17" t="s">
        <v>174</v>
      </c>
    </row>
    <row r="241" ht="60.0" customHeight="1">
      <c r="A241" s="20" t="s">
        <v>108</v>
      </c>
      <c r="B241" s="20" t="s">
        <v>55</v>
      </c>
      <c r="C241" s="20" t="s">
        <v>599</v>
      </c>
      <c r="D241" s="20" t="s">
        <v>149</v>
      </c>
      <c r="E241" s="20" t="s">
        <v>150</v>
      </c>
      <c r="F241" s="37">
        <v>13.29</v>
      </c>
      <c r="G241" s="20" t="s">
        <v>600</v>
      </c>
      <c r="H241" s="20" t="s">
        <v>599</v>
      </c>
      <c r="I241" s="20" t="s">
        <v>601</v>
      </c>
      <c r="J241" s="20" t="s">
        <v>305</v>
      </c>
      <c r="K241" s="20" t="s">
        <v>583</v>
      </c>
      <c r="L241" s="20" t="s">
        <v>45</v>
      </c>
      <c r="M241" s="20" t="s">
        <v>602</v>
      </c>
      <c r="N241" s="20" t="s">
        <v>122</v>
      </c>
    </row>
    <row r="242" ht="60.0" customHeight="1">
      <c r="A242" s="17" t="s">
        <v>156</v>
      </c>
      <c r="B242" s="17" t="s">
        <v>55</v>
      </c>
      <c r="C242" s="17" t="s">
        <v>1396</v>
      </c>
      <c r="D242" s="17" t="s">
        <v>67</v>
      </c>
      <c r="E242" s="17" t="s">
        <v>68</v>
      </c>
      <c r="F242" s="36">
        <v>-84.55</v>
      </c>
      <c r="G242" s="17" t="s">
        <v>1397</v>
      </c>
      <c r="H242" s="17" t="s">
        <v>1396</v>
      </c>
      <c r="I242" s="17" t="s">
        <v>285</v>
      </c>
      <c r="J242" s="17" t="s">
        <v>71</v>
      </c>
      <c r="K242" s="17" t="s">
        <v>249</v>
      </c>
      <c r="L242" s="17" t="s">
        <v>45</v>
      </c>
      <c r="M242" s="17" t="s">
        <v>1398</v>
      </c>
      <c r="N242" s="17" t="s">
        <v>287</v>
      </c>
    </row>
    <row r="243" ht="60.0" customHeight="1">
      <c r="A243" s="20" t="s">
        <v>156</v>
      </c>
      <c r="B243" s="20" t="s">
        <v>55</v>
      </c>
      <c r="C243" s="20" t="s">
        <v>1399</v>
      </c>
      <c r="D243" s="20" t="s">
        <v>67</v>
      </c>
      <c r="E243" s="20" t="s">
        <v>68</v>
      </c>
      <c r="F243" s="37">
        <v>-87.36</v>
      </c>
      <c r="G243" s="20" t="s">
        <v>1400</v>
      </c>
      <c r="H243" s="20" t="s">
        <v>1399</v>
      </c>
      <c r="I243" s="20" t="s">
        <v>285</v>
      </c>
      <c r="J243" s="20" t="s">
        <v>71</v>
      </c>
      <c r="K243" s="20" t="s">
        <v>249</v>
      </c>
      <c r="L243" s="20" t="s">
        <v>45</v>
      </c>
      <c r="M243" s="20" t="s">
        <v>1401</v>
      </c>
      <c r="N243" s="20" t="s">
        <v>287</v>
      </c>
    </row>
    <row r="244" ht="60.0" customHeight="1">
      <c r="A244" s="17" t="s">
        <v>156</v>
      </c>
      <c r="B244" s="17" t="s">
        <v>55</v>
      </c>
      <c r="C244" s="17" t="s">
        <v>157</v>
      </c>
      <c r="D244" s="17" t="s">
        <v>39</v>
      </c>
      <c r="E244" s="17" t="s">
        <v>40</v>
      </c>
      <c r="F244" s="36">
        <v>18.94</v>
      </c>
      <c r="G244" s="17" t="s">
        <v>158</v>
      </c>
      <c r="H244" s="17" t="s">
        <v>159</v>
      </c>
      <c r="I244" s="17" t="s">
        <v>86</v>
      </c>
      <c r="J244" s="17" t="s">
        <v>87</v>
      </c>
      <c r="K244" s="17" t="s">
        <v>88</v>
      </c>
      <c r="L244" s="17" t="s">
        <v>45</v>
      </c>
      <c r="M244" s="17" t="s">
        <v>160</v>
      </c>
      <c r="N244" s="17" t="s">
        <v>90</v>
      </c>
    </row>
    <row r="245" ht="60.0" customHeight="1">
      <c r="A245" s="20" t="s">
        <v>156</v>
      </c>
      <c r="B245" s="20" t="s">
        <v>55</v>
      </c>
      <c r="C245" s="20" t="s">
        <v>157</v>
      </c>
      <c r="D245" s="20" t="s">
        <v>39</v>
      </c>
      <c r="E245" s="20" t="s">
        <v>40</v>
      </c>
      <c r="F245" s="37">
        <v>20.0</v>
      </c>
      <c r="G245" s="20" t="s">
        <v>661</v>
      </c>
      <c r="H245" s="20" t="s">
        <v>159</v>
      </c>
      <c r="I245" s="20" t="s">
        <v>86</v>
      </c>
      <c r="J245" s="20" t="s">
        <v>87</v>
      </c>
      <c r="K245" s="20" t="s">
        <v>88</v>
      </c>
      <c r="L245" s="20" t="s">
        <v>45</v>
      </c>
      <c r="M245" s="20" t="s">
        <v>662</v>
      </c>
      <c r="N245" s="20" t="s">
        <v>90</v>
      </c>
    </row>
    <row r="246" ht="60.0" customHeight="1">
      <c r="A246" s="17" t="s">
        <v>156</v>
      </c>
      <c r="B246" s="17" t="s">
        <v>55</v>
      </c>
      <c r="C246" s="17" t="s">
        <v>84</v>
      </c>
      <c r="D246" s="17" t="s">
        <v>93</v>
      </c>
      <c r="E246" s="17" t="s">
        <v>94</v>
      </c>
      <c r="F246" s="36">
        <v>286.19</v>
      </c>
      <c r="G246" s="17" t="s">
        <v>443</v>
      </c>
      <c r="H246" s="17" t="s">
        <v>84</v>
      </c>
      <c r="I246" s="17" t="s">
        <v>86</v>
      </c>
      <c r="J246" s="17" t="s">
        <v>87</v>
      </c>
      <c r="K246" s="17" t="s">
        <v>88</v>
      </c>
      <c r="L246" s="17" t="s">
        <v>45</v>
      </c>
      <c r="M246" s="17" t="s">
        <v>444</v>
      </c>
      <c r="N246" s="17" t="s">
        <v>90</v>
      </c>
    </row>
    <row r="247" ht="60.0" customHeight="1">
      <c r="A247" s="20" t="s">
        <v>156</v>
      </c>
      <c r="B247" s="20" t="s">
        <v>55</v>
      </c>
      <c r="C247" s="20" t="s">
        <v>785</v>
      </c>
      <c r="D247" s="20" t="s">
        <v>39</v>
      </c>
      <c r="E247" s="20" t="s">
        <v>40</v>
      </c>
      <c r="F247" s="37">
        <v>96.68</v>
      </c>
      <c r="G247" s="20" t="s">
        <v>1034</v>
      </c>
      <c r="H247" s="20" t="s">
        <v>785</v>
      </c>
      <c r="I247" s="20" t="s">
        <v>787</v>
      </c>
      <c r="J247" s="20" t="s">
        <v>326</v>
      </c>
      <c r="K247" s="20" t="s">
        <v>563</v>
      </c>
      <c r="L247" s="20" t="s">
        <v>45</v>
      </c>
      <c r="M247" s="20" t="s">
        <v>1035</v>
      </c>
      <c r="N247" s="20" t="s">
        <v>174</v>
      </c>
    </row>
    <row r="248" ht="60.0" customHeight="1">
      <c r="A248" s="17" t="s">
        <v>156</v>
      </c>
      <c r="B248" s="17" t="s">
        <v>55</v>
      </c>
      <c r="C248" s="17" t="s">
        <v>521</v>
      </c>
      <c r="D248" s="17" t="s">
        <v>39</v>
      </c>
      <c r="E248" s="17" t="s">
        <v>40</v>
      </c>
      <c r="F248" s="36">
        <v>27.62</v>
      </c>
      <c r="G248" s="17" t="s">
        <v>735</v>
      </c>
      <c r="H248" s="17" t="s">
        <v>521</v>
      </c>
      <c r="I248" s="17" t="s">
        <v>523</v>
      </c>
      <c r="J248" s="17" t="s">
        <v>524</v>
      </c>
      <c r="K248" s="17" t="s">
        <v>525</v>
      </c>
      <c r="L248" s="17" t="s">
        <v>45</v>
      </c>
      <c r="M248" s="17" t="s">
        <v>736</v>
      </c>
      <c r="N248" s="17" t="s">
        <v>64</v>
      </c>
    </row>
    <row r="249" ht="60.0" customHeight="1">
      <c r="A249" s="20" t="s">
        <v>156</v>
      </c>
      <c r="B249" s="20" t="s">
        <v>55</v>
      </c>
      <c r="C249" s="20" t="s">
        <v>560</v>
      </c>
      <c r="D249" s="20" t="s">
        <v>39</v>
      </c>
      <c r="E249" s="20" t="s">
        <v>40</v>
      </c>
      <c r="F249" s="37">
        <v>107.25</v>
      </c>
      <c r="G249" s="20" t="s">
        <v>1079</v>
      </c>
      <c r="H249" s="20" t="s">
        <v>560</v>
      </c>
      <c r="I249" s="20" t="s">
        <v>562</v>
      </c>
      <c r="J249" s="20" t="s">
        <v>326</v>
      </c>
      <c r="K249" s="20" t="s">
        <v>563</v>
      </c>
      <c r="L249" s="20" t="s">
        <v>45</v>
      </c>
      <c r="M249" s="20" t="s">
        <v>1080</v>
      </c>
      <c r="N249" s="20" t="s">
        <v>64</v>
      </c>
    </row>
    <row r="250" ht="60.0" customHeight="1">
      <c r="A250" s="17" t="s">
        <v>156</v>
      </c>
      <c r="B250" s="17" t="s">
        <v>55</v>
      </c>
      <c r="C250" s="17" t="s">
        <v>719</v>
      </c>
      <c r="D250" s="17" t="s">
        <v>149</v>
      </c>
      <c r="E250" s="17" t="s">
        <v>150</v>
      </c>
      <c r="F250" s="36">
        <v>26.33</v>
      </c>
      <c r="G250" s="17" t="s">
        <v>720</v>
      </c>
      <c r="H250" s="17" t="s">
        <v>719</v>
      </c>
      <c r="I250" s="17" t="s">
        <v>721</v>
      </c>
      <c r="J250" s="17" t="s">
        <v>305</v>
      </c>
      <c r="K250" s="17" t="s">
        <v>583</v>
      </c>
      <c r="L250" s="17" t="s">
        <v>45</v>
      </c>
      <c r="M250" s="17" t="s">
        <v>722</v>
      </c>
      <c r="N250" s="17" t="s">
        <v>114</v>
      </c>
    </row>
    <row r="251" ht="60.0" customHeight="1">
      <c r="A251" s="20" t="s">
        <v>156</v>
      </c>
      <c r="B251" s="20" t="s">
        <v>55</v>
      </c>
      <c r="C251" s="20" t="s">
        <v>92</v>
      </c>
      <c r="D251" s="20" t="s">
        <v>138</v>
      </c>
      <c r="E251" s="20" t="s">
        <v>139</v>
      </c>
      <c r="F251" s="37">
        <v>12.44</v>
      </c>
      <c r="G251" s="20" t="s">
        <v>591</v>
      </c>
      <c r="H251" s="20" t="s">
        <v>92</v>
      </c>
      <c r="I251" s="20" t="s">
        <v>208</v>
      </c>
      <c r="J251" s="20" t="s">
        <v>97</v>
      </c>
      <c r="K251" s="20" t="s">
        <v>98</v>
      </c>
      <c r="L251" s="20" t="s">
        <v>45</v>
      </c>
      <c r="M251" s="20" t="s">
        <v>592</v>
      </c>
      <c r="N251" s="20" t="s">
        <v>64</v>
      </c>
    </row>
    <row r="252" ht="60.0" customHeight="1">
      <c r="A252" s="17" t="s">
        <v>156</v>
      </c>
      <c r="B252" s="17" t="s">
        <v>55</v>
      </c>
      <c r="C252" s="17" t="s">
        <v>907</v>
      </c>
      <c r="D252" s="17" t="s">
        <v>149</v>
      </c>
      <c r="E252" s="17" t="s">
        <v>150</v>
      </c>
      <c r="F252" s="36">
        <v>56.67</v>
      </c>
      <c r="G252" s="17" t="s">
        <v>908</v>
      </c>
      <c r="H252" s="17" t="s">
        <v>907</v>
      </c>
      <c r="I252" s="17" t="s">
        <v>208</v>
      </c>
      <c r="J252" s="17" t="s">
        <v>97</v>
      </c>
      <c r="K252" s="17" t="s">
        <v>98</v>
      </c>
      <c r="L252" s="17" t="s">
        <v>45</v>
      </c>
      <c r="M252" s="17" t="s">
        <v>909</v>
      </c>
      <c r="N252" s="17" t="s">
        <v>64</v>
      </c>
    </row>
    <row r="253" ht="60.0" customHeight="1">
      <c r="A253" s="20" t="s">
        <v>156</v>
      </c>
      <c r="B253" s="20" t="s">
        <v>55</v>
      </c>
      <c r="C253" s="20" t="s">
        <v>936</v>
      </c>
      <c r="D253" s="20" t="s">
        <v>57</v>
      </c>
      <c r="E253" s="20" t="s">
        <v>58</v>
      </c>
      <c r="F253" s="37">
        <v>65.24</v>
      </c>
      <c r="G253" s="20" t="s">
        <v>937</v>
      </c>
      <c r="H253" s="20" t="s">
        <v>936</v>
      </c>
      <c r="I253" s="20" t="s">
        <v>938</v>
      </c>
      <c r="J253" s="20" t="s">
        <v>142</v>
      </c>
      <c r="K253" s="20" t="s">
        <v>180</v>
      </c>
      <c r="L253" s="20" t="s">
        <v>45</v>
      </c>
      <c r="M253" s="20" t="s">
        <v>939</v>
      </c>
      <c r="N253" s="20" t="s">
        <v>182</v>
      </c>
    </row>
    <row r="254" ht="60.0" customHeight="1">
      <c r="A254" s="17" t="s">
        <v>156</v>
      </c>
      <c r="B254" s="17" t="s">
        <v>55</v>
      </c>
      <c r="C254" s="17" t="s">
        <v>833</v>
      </c>
      <c r="D254" s="17" t="s">
        <v>138</v>
      </c>
      <c r="E254" s="17" t="s">
        <v>139</v>
      </c>
      <c r="F254" s="36">
        <v>64.59</v>
      </c>
      <c r="G254" s="17" t="s">
        <v>834</v>
      </c>
      <c r="H254" s="17" t="s">
        <v>833</v>
      </c>
      <c r="I254" s="17" t="s">
        <v>835</v>
      </c>
      <c r="J254" s="17" t="s">
        <v>142</v>
      </c>
      <c r="K254" s="17" t="s">
        <v>143</v>
      </c>
      <c r="L254" s="17" t="s">
        <v>45</v>
      </c>
      <c r="M254" s="17" t="s">
        <v>926</v>
      </c>
      <c r="N254" s="17" t="s">
        <v>74</v>
      </c>
    </row>
    <row r="255" ht="60.0" customHeight="1">
      <c r="A255" s="20" t="s">
        <v>156</v>
      </c>
      <c r="B255" s="20" t="s">
        <v>55</v>
      </c>
      <c r="C255" s="20" t="s">
        <v>251</v>
      </c>
      <c r="D255" s="20" t="s">
        <v>57</v>
      </c>
      <c r="E255" s="20" t="s">
        <v>58</v>
      </c>
      <c r="F255" s="37">
        <v>67.73</v>
      </c>
      <c r="G255" s="20" t="s">
        <v>252</v>
      </c>
      <c r="H255" s="20" t="s">
        <v>251</v>
      </c>
      <c r="I255" s="20" t="s">
        <v>253</v>
      </c>
      <c r="J255" s="20" t="s">
        <v>142</v>
      </c>
      <c r="K255" s="20" t="s">
        <v>143</v>
      </c>
      <c r="L255" s="20" t="s">
        <v>45</v>
      </c>
      <c r="M255" s="20" t="s">
        <v>254</v>
      </c>
      <c r="N255" s="20" t="s">
        <v>114</v>
      </c>
    </row>
    <row r="256" ht="60.0" customHeight="1">
      <c r="A256" s="17" t="s">
        <v>156</v>
      </c>
      <c r="B256" s="17" t="s">
        <v>55</v>
      </c>
      <c r="C256" s="17" t="s">
        <v>210</v>
      </c>
      <c r="D256" s="17" t="s">
        <v>57</v>
      </c>
      <c r="E256" s="17" t="s">
        <v>58</v>
      </c>
      <c r="F256" s="36">
        <v>42.1</v>
      </c>
      <c r="G256" s="17" t="s">
        <v>211</v>
      </c>
      <c r="H256" s="17" t="s">
        <v>210</v>
      </c>
      <c r="I256" s="17" t="s">
        <v>212</v>
      </c>
      <c r="J256" s="17" t="s">
        <v>142</v>
      </c>
      <c r="K256" s="17" t="s">
        <v>213</v>
      </c>
      <c r="L256" s="17" t="s">
        <v>45</v>
      </c>
      <c r="M256" s="17" t="s">
        <v>214</v>
      </c>
      <c r="N256" s="17" t="s">
        <v>174</v>
      </c>
    </row>
    <row r="257" ht="60.0" customHeight="1">
      <c r="A257" s="20" t="s">
        <v>156</v>
      </c>
      <c r="B257" s="20" t="s">
        <v>55</v>
      </c>
      <c r="C257" s="20" t="s">
        <v>302</v>
      </c>
      <c r="D257" s="20" t="s">
        <v>149</v>
      </c>
      <c r="E257" s="20" t="s">
        <v>150</v>
      </c>
      <c r="F257" s="37">
        <v>79.01</v>
      </c>
      <c r="G257" s="20" t="s">
        <v>989</v>
      </c>
      <c r="H257" s="20" t="s">
        <v>302</v>
      </c>
      <c r="I257" s="20" t="s">
        <v>304</v>
      </c>
      <c r="J257" s="20" t="s">
        <v>305</v>
      </c>
      <c r="K257" s="20" t="s">
        <v>306</v>
      </c>
      <c r="L257" s="20" t="s">
        <v>45</v>
      </c>
      <c r="M257" s="20" t="s">
        <v>990</v>
      </c>
      <c r="N257" s="20" t="s">
        <v>308</v>
      </c>
    </row>
    <row r="258" ht="60.0" customHeight="1">
      <c r="A258" s="17" t="s">
        <v>156</v>
      </c>
      <c r="B258" s="17" t="s">
        <v>55</v>
      </c>
      <c r="C258" s="17" t="s">
        <v>636</v>
      </c>
      <c r="D258" s="17" t="s">
        <v>127</v>
      </c>
      <c r="E258" s="17" t="s">
        <v>128</v>
      </c>
      <c r="F258" s="36">
        <v>22.64</v>
      </c>
      <c r="G258" s="17" t="s">
        <v>692</v>
      </c>
      <c r="H258" s="17" t="s">
        <v>636</v>
      </c>
      <c r="I258" s="17" t="s">
        <v>638</v>
      </c>
      <c r="J258" s="17" t="s">
        <v>613</v>
      </c>
      <c r="K258" s="17" t="s">
        <v>614</v>
      </c>
      <c r="L258" s="17" t="s">
        <v>45</v>
      </c>
      <c r="M258" s="17" t="s">
        <v>693</v>
      </c>
      <c r="N258" s="17" t="s">
        <v>74</v>
      </c>
    </row>
    <row r="259" ht="60.0" customHeight="1">
      <c r="A259" s="20" t="s">
        <v>156</v>
      </c>
      <c r="B259" s="20" t="s">
        <v>55</v>
      </c>
      <c r="C259" s="20" t="s">
        <v>636</v>
      </c>
      <c r="D259" s="20" t="s">
        <v>127</v>
      </c>
      <c r="E259" s="20" t="s">
        <v>128</v>
      </c>
      <c r="F259" s="37">
        <v>67.81</v>
      </c>
      <c r="G259" s="20" t="s">
        <v>942</v>
      </c>
      <c r="H259" s="20" t="s">
        <v>636</v>
      </c>
      <c r="I259" s="20" t="s">
        <v>638</v>
      </c>
      <c r="J259" s="20" t="s">
        <v>613</v>
      </c>
      <c r="K259" s="20" t="s">
        <v>614</v>
      </c>
      <c r="L259" s="20" t="s">
        <v>45</v>
      </c>
      <c r="M259" s="20" t="s">
        <v>943</v>
      </c>
      <c r="N259" s="20" t="s">
        <v>64</v>
      </c>
    </row>
    <row r="260" ht="60.0" customHeight="1">
      <c r="A260" s="17" t="s">
        <v>156</v>
      </c>
      <c r="B260" s="17" t="s">
        <v>55</v>
      </c>
      <c r="C260" s="17" t="s">
        <v>565</v>
      </c>
      <c r="D260" s="17" t="s">
        <v>149</v>
      </c>
      <c r="E260" s="17" t="s">
        <v>150</v>
      </c>
      <c r="F260" s="36">
        <v>11.13</v>
      </c>
      <c r="G260" s="17" t="s">
        <v>566</v>
      </c>
      <c r="H260" s="17" t="s">
        <v>565</v>
      </c>
      <c r="I260" s="17" t="s">
        <v>567</v>
      </c>
      <c r="J260" s="17" t="s">
        <v>568</v>
      </c>
      <c r="K260" s="17" t="s">
        <v>569</v>
      </c>
      <c r="L260" s="17" t="s">
        <v>45</v>
      </c>
      <c r="M260" s="17" t="s">
        <v>570</v>
      </c>
      <c r="N260" s="17" t="s">
        <v>122</v>
      </c>
    </row>
    <row r="261" ht="60.0" customHeight="1">
      <c r="A261" s="20" t="s">
        <v>156</v>
      </c>
      <c r="B261" s="20" t="s">
        <v>55</v>
      </c>
      <c r="C261" s="20" t="s">
        <v>587</v>
      </c>
      <c r="D261" s="20" t="s">
        <v>127</v>
      </c>
      <c r="E261" s="20" t="s">
        <v>128</v>
      </c>
      <c r="F261" s="37">
        <v>26.32</v>
      </c>
      <c r="G261" s="20" t="s">
        <v>717</v>
      </c>
      <c r="H261" s="20" t="s">
        <v>587</v>
      </c>
      <c r="I261" s="20" t="s">
        <v>589</v>
      </c>
      <c r="J261" s="20" t="s">
        <v>142</v>
      </c>
      <c r="K261" s="20" t="s">
        <v>166</v>
      </c>
      <c r="L261" s="20" t="s">
        <v>45</v>
      </c>
      <c r="M261" s="20" t="s">
        <v>718</v>
      </c>
      <c r="N261" s="20" t="s">
        <v>64</v>
      </c>
    </row>
    <row r="262" ht="60.0" customHeight="1">
      <c r="A262" s="17" t="s">
        <v>276</v>
      </c>
      <c r="B262" s="17" t="s">
        <v>55</v>
      </c>
      <c r="C262" s="17" t="s">
        <v>277</v>
      </c>
      <c r="D262" s="17" t="s">
        <v>93</v>
      </c>
      <c r="E262" s="17" t="s">
        <v>94</v>
      </c>
      <c r="F262" s="36">
        <v>94.16</v>
      </c>
      <c r="G262" s="17" t="s">
        <v>278</v>
      </c>
      <c r="H262" s="17" t="s">
        <v>277</v>
      </c>
      <c r="I262" s="17" t="s">
        <v>279</v>
      </c>
      <c r="J262" s="17" t="s">
        <v>280</v>
      </c>
      <c r="K262" s="17" t="s">
        <v>281</v>
      </c>
      <c r="L262" s="17" t="s">
        <v>45</v>
      </c>
      <c r="M262" s="17" t="s">
        <v>282</v>
      </c>
      <c r="N262" s="17" t="s">
        <v>64</v>
      </c>
    </row>
    <row r="263" ht="60.0" customHeight="1">
      <c r="A263" s="20" t="s">
        <v>276</v>
      </c>
      <c r="B263" s="20" t="s">
        <v>55</v>
      </c>
      <c r="C263" s="20" t="s">
        <v>946</v>
      </c>
      <c r="D263" s="20" t="s">
        <v>353</v>
      </c>
      <c r="E263" s="20" t="s">
        <v>354</v>
      </c>
      <c r="F263" s="37">
        <v>70.53</v>
      </c>
      <c r="G263" s="20" t="s">
        <v>962</v>
      </c>
      <c r="H263" s="20" t="s">
        <v>946</v>
      </c>
      <c r="I263" s="20" t="s">
        <v>948</v>
      </c>
      <c r="J263" s="20" t="s">
        <v>949</v>
      </c>
      <c r="K263" s="20" t="s">
        <v>950</v>
      </c>
      <c r="L263" s="20" t="s">
        <v>45</v>
      </c>
      <c r="M263" s="20" t="s">
        <v>963</v>
      </c>
      <c r="N263" s="20" t="s">
        <v>64</v>
      </c>
    </row>
    <row r="264" ht="60.0" customHeight="1">
      <c r="A264" s="17" t="s">
        <v>276</v>
      </c>
      <c r="B264" s="17" t="s">
        <v>55</v>
      </c>
      <c r="C264" s="17" t="s">
        <v>348</v>
      </c>
      <c r="D264" s="17" t="s">
        <v>57</v>
      </c>
      <c r="E264" s="17" t="s">
        <v>58</v>
      </c>
      <c r="F264" s="36">
        <v>169.82</v>
      </c>
      <c r="G264" s="17" t="s">
        <v>387</v>
      </c>
      <c r="H264" s="17" t="s">
        <v>348</v>
      </c>
      <c r="I264" s="17" t="s">
        <v>350</v>
      </c>
      <c r="J264" s="17" t="s">
        <v>119</v>
      </c>
      <c r="K264" s="17" t="s">
        <v>120</v>
      </c>
      <c r="L264" s="17" t="s">
        <v>45</v>
      </c>
      <c r="M264" s="17" t="s">
        <v>388</v>
      </c>
      <c r="N264" s="17" t="s">
        <v>64</v>
      </c>
    </row>
    <row r="265" ht="60.0" customHeight="1">
      <c r="A265" s="20" t="s">
        <v>276</v>
      </c>
      <c r="B265" s="20" t="s">
        <v>55</v>
      </c>
      <c r="C265" s="20" t="s">
        <v>344</v>
      </c>
      <c r="D265" s="20" t="s">
        <v>57</v>
      </c>
      <c r="E265" s="20" t="s">
        <v>58</v>
      </c>
      <c r="F265" s="37">
        <v>125.68</v>
      </c>
      <c r="G265" s="20" t="s">
        <v>345</v>
      </c>
      <c r="H265" s="20" t="s">
        <v>344</v>
      </c>
      <c r="I265" s="20" t="s">
        <v>346</v>
      </c>
      <c r="J265" s="20" t="s">
        <v>142</v>
      </c>
      <c r="K265" s="20" t="s">
        <v>180</v>
      </c>
      <c r="L265" s="20" t="s">
        <v>45</v>
      </c>
      <c r="M265" s="20" t="s">
        <v>347</v>
      </c>
      <c r="N265" s="20" t="s">
        <v>114</v>
      </c>
    </row>
    <row r="266" ht="60.0" customHeight="1">
      <c r="A266" s="17" t="s">
        <v>257</v>
      </c>
      <c r="B266" s="17" t="s">
        <v>55</v>
      </c>
      <c r="C266" s="17" t="s">
        <v>258</v>
      </c>
      <c r="D266" s="17" t="s">
        <v>138</v>
      </c>
      <c r="E266" s="17" t="s">
        <v>139</v>
      </c>
      <c r="F266" s="36">
        <v>75.13</v>
      </c>
      <c r="G266" s="17" t="s">
        <v>259</v>
      </c>
      <c r="H266" s="17" t="s">
        <v>258</v>
      </c>
      <c r="I266" s="17" t="s">
        <v>260</v>
      </c>
      <c r="J266" s="17" t="s">
        <v>142</v>
      </c>
      <c r="K266" s="17" t="s">
        <v>143</v>
      </c>
      <c r="L266" s="17" t="s">
        <v>45</v>
      </c>
      <c r="M266" s="17" t="s">
        <v>261</v>
      </c>
      <c r="N266" s="17" t="s">
        <v>122</v>
      </c>
    </row>
    <row r="267" ht="60.0" customHeight="1">
      <c r="A267" s="20" t="s">
        <v>257</v>
      </c>
      <c r="B267" s="20" t="s">
        <v>55</v>
      </c>
      <c r="C267" s="20" t="s">
        <v>311</v>
      </c>
      <c r="D267" s="20" t="s">
        <v>67</v>
      </c>
      <c r="E267" s="20" t="s">
        <v>68</v>
      </c>
      <c r="F267" s="37">
        <v>108.0</v>
      </c>
      <c r="G267" s="20" t="s">
        <v>312</v>
      </c>
      <c r="H267" s="20" t="s">
        <v>311</v>
      </c>
      <c r="I267" s="20" t="s">
        <v>313</v>
      </c>
      <c r="J267" s="20" t="s">
        <v>314</v>
      </c>
      <c r="K267" s="20" t="s">
        <v>315</v>
      </c>
      <c r="L267" s="20" t="s">
        <v>45</v>
      </c>
      <c r="M267" s="20" t="s">
        <v>316</v>
      </c>
      <c r="N267" s="20" t="s">
        <v>82</v>
      </c>
    </row>
    <row r="268" ht="60.0" customHeight="1">
      <c r="A268" s="17" t="s">
        <v>257</v>
      </c>
      <c r="B268" s="17" t="s">
        <v>55</v>
      </c>
      <c r="C268" s="17" t="s">
        <v>544</v>
      </c>
      <c r="D268" s="17" t="s">
        <v>127</v>
      </c>
      <c r="E268" s="17" t="s">
        <v>128</v>
      </c>
      <c r="F268" s="36">
        <v>10.52</v>
      </c>
      <c r="G268" s="17" t="s">
        <v>545</v>
      </c>
      <c r="H268" s="17" t="s">
        <v>544</v>
      </c>
      <c r="I268" s="17" t="s">
        <v>546</v>
      </c>
      <c r="J268" s="17" t="s">
        <v>119</v>
      </c>
      <c r="K268" s="17" t="s">
        <v>231</v>
      </c>
      <c r="L268" s="17" t="s">
        <v>45</v>
      </c>
      <c r="M268" s="17" t="s">
        <v>547</v>
      </c>
      <c r="N268" s="17" t="s">
        <v>174</v>
      </c>
    </row>
    <row r="269" ht="60.0" customHeight="1">
      <c r="A269" s="20" t="s">
        <v>257</v>
      </c>
      <c r="B269" s="20" t="s">
        <v>55</v>
      </c>
      <c r="C269" s="20" t="s">
        <v>1040</v>
      </c>
      <c r="D269" s="20" t="s">
        <v>138</v>
      </c>
      <c r="E269" s="20" t="s">
        <v>139</v>
      </c>
      <c r="F269" s="37">
        <v>131.78</v>
      </c>
      <c r="G269" s="20" t="s">
        <v>1110</v>
      </c>
      <c r="H269" s="20" t="s">
        <v>1040</v>
      </c>
      <c r="I269" s="20" t="s">
        <v>1042</v>
      </c>
      <c r="J269" s="20" t="s">
        <v>142</v>
      </c>
      <c r="K269" s="20" t="s">
        <v>180</v>
      </c>
      <c r="L269" s="20" t="s">
        <v>45</v>
      </c>
      <c r="M269" s="20" t="s">
        <v>1111</v>
      </c>
      <c r="N269" s="20" t="s">
        <v>182</v>
      </c>
    </row>
    <row r="270" ht="60.0" customHeight="1">
      <c r="A270" s="17" t="s">
        <v>131</v>
      </c>
      <c r="B270" s="17" t="s">
        <v>55</v>
      </c>
      <c r="C270" s="17" t="s">
        <v>137</v>
      </c>
      <c r="D270" s="17" t="s">
        <v>138</v>
      </c>
      <c r="E270" s="17" t="s">
        <v>139</v>
      </c>
      <c r="F270" s="36">
        <v>14.2</v>
      </c>
      <c r="G270" s="17" t="s">
        <v>140</v>
      </c>
      <c r="H270" s="17" t="s">
        <v>137</v>
      </c>
      <c r="I270" s="17" t="s">
        <v>141</v>
      </c>
      <c r="J270" s="17" t="s">
        <v>142</v>
      </c>
      <c r="K270" s="17" t="s">
        <v>143</v>
      </c>
      <c r="L270" s="17" t="s">
        <v>45</v>
      </c>
      <c r="M270" s="17" t="s">
        <v>144</v>
      </c>
      <c r="N270" s="17" t="s">
        <v>74</v>
      </c>
    </row>
    <row r="271" ht="60.0" customHeight="1">
      <c r="A271" s="20" t="s">
        <v>131</v>
      </c>
      <c r="B271" s="20" t="s">
        <v>55</v>
      </c>
      <c r="C271" s="20" t="s">
        <v>1396</v>
      </c>
      <c r="D271" s="20" t="s">
        <v>67</v>
      </c>
      <c r="E271" s="20" t="s">
        <v>68</v>
      </c>
      <c r="F271" s="37">
        <v>-1.03</v>
      </c>
      <c r="G271" s="20" t="s">
        <v>1402</v>
      </c>
      <c r="H271" s="20" t="s">
        <v>1396</v>
      </c>
      <c r="I271" s="20" t="s">
        <v>285</v>
      </c>
      <c r="J271" s="20" t="s">
        <v>71</v>
      </c>
      <c r="K271" s="20" t="s">
        <v>249</v>
      </c>
      <c r="L271" s="20" t="s">
        <v>45</v>
      </c>
      <c r="M271" s="20" t="s">
        <v>1403</v>
      </c>
      <c r="N271" s="20" t="s">
        <v>287</v>
      </c>
    </row>
    <row r="272" ht="60.0" customHeight="1">
      <c r="A272" s="17" t="s">
        <v>131</v>
      </c>
      <c r="B272" s="17" t="s">
        <v>55</v>
      </c>
      <c r="C272" s="17" t="s">
        <v>674</v>
      </c>
      <c r="D272" s="17" t="s">
        <v>149</v>
      </c>
      <c r="E272" s="17" t="s">
        <v>150</v>
      </c>
      <c r="F272" s="36">
        <v>21.85</v>
      </c>
      <c r="G272" s="17" t="s">
        <v>678</v>
      </c>
      <c r="H272" s="17" t="s">
        <v>674</v>
      </c>
      <c r="I272" s="17" t="s">
        <v>676</v>
      </c>
      <c r="J272" s="17" t="s">
        <v>119</v>
      </c>
      <c r="K272" s="17" t="s">
        <v>120</v>
      </c>
      <c r="L272" s="17" t="s">
        <v>45</v>
      </c>
      <c r="M272" s="17" t="s">
        <v>679</v>
      </c>
      <c r="N272" s="17" t="s">
        <v>122</v>
      </c>
    </row>
    <row r="273" ht="60.0" customHeight="1">
      <c r="A273" s="20" t="s">
        <v>131</v>
      </c>
      <c r="B273" s="20" t="s">
        <v>55</v>
      </c>
      <c r="C273" s="20" t="s">
        <v>56</v>
      </c>
      <c r="D273" s="20" t="s">
        <v>93</v>
      </c>
      <c r="E273" s="20" t="s">
        <v>94</v>
      </c>
      <c r="F273" s="37">
        <v>21.05</v>
      </c>
      <c r="G273" s="20" t="s">
        <v>161</v>
      </c>
      <c r="H273" s="20" t="s">
        <v>56</v>
      </c>
      <c r="I273" s="20" t="s">
        <v>60</v>
      </c>
      <c r="J273" s="20" t="s">
        <v>61</v>
      </c>
      <c r="K273" s="20" t="s">
        <v>62</v>
      </c>
      <c r="L273" s="20" t="s">
        <v>45</v>
      </c>
      <c r="M273" s="20" t="s">
        <v>162</v>
      </c>
      <c r="N273" s="20" t="s">
        <v>64</v>
      </c>
    </row>
    <row r="274" ht="60.0" customHeight="1">
      <c r="A274" s="17" t="s">
        <v>131</v>
      </c>
      <c r="B274" s="17" t="s">
        <v>55</v>
      </c>
      <c r="C274" s="17" t="s">
        <v>56</v>
      </c>
      <c r="D274" s="17" t="s">
        <v>93</v>
      </c>
      <c r="E274" s="17" t="s">
        <v>94</v>
      </c>
      <c r="F274" s="36">
        <v>73.06</v>
      </c>
      <c r="G274" s="17" t="s">
        <v>974</v>
      </c>
      <c r="H274" s="17" t="s">
        <v>56</v>
      </c>
      <c r="I274" s="17" t="s">
        <v>60</v>
      </c>
      <c r="J274" s="17" t="s">
        <v>61</v>
      </c>
      <c r="K274" s="17" t="s">
        <v>62</v>
      </c>
      <c r="L274" s="17" t="s">
        <v>45</v>
      </c>
      <c r="M274" s="17" t="s">
        <v>975</v>
      </c>
      <c r="N274" s="17" t="s">
        <v>64</v>
      </c>
    </row>
    <row r="275" ht="60.0" customHeight="1">
      <c r="A275" s="20" t="s">
        <v>131</v>
      </c>
      <c r="B275" s="20" t="s">
        <v>55</v>
      </c>
      <c r="C275" s="20" t="s">
        <v>56</v>
      </c>
      <c r="D275" s="20" t="s">
        <v>93</v>
      </c>
      <c r="E275" s="20" t="s">
        <v>94</v>
      </c>
      <c r="F275" s="37">
        <v>125.0</v>
      </c>
      <c r="G275" s="20" t="s">
        <v>342</v>
      </c>
      <c r="H275" s="20" t="s">
        <v>56</v>
      </c>
      <c r="I275" s="20" t="s">
        <v>60</v>
      </c>
      <c r="J275" s="20" t="s">
        <v>61</v>
      </c>
      <c r="K275" s="20" t="s">
        <v>62</v>
      </c>
      <c r="L275" s="20" t="s">
        <v>45</v>
      </c>
      <c r="M275" s="20" t="s">
        <v>343</v>
      </c>
      <c r="N275" s="20" t="s">
        <v>64</v>
      </c>
    </row>
    <row r="276" ht="60.0" customHeight="1">
      <c r="A276" s="17" t="s">
        <v>131</v>
      </c>
      <c r="B276" s="17" t="s">
        <v>55</v>
      </c>
      <c r="C276" s="17" t="s">
        <v>560</v>
      </c>
      <c r="D276" s="17" t="s">
        <v>39</v>
      </c>
      <c r="E276" s="17" t="s">
        <v>40</v>
      </c>
      <c r="F276" s="36">
        <v>33.25</v>
      </c>
      <c r="G276" s="17" t="s">
        <v>781</v>
      </c>
      <c r="H276" s="17" t="s">
        <v>560</v>
      </c>
      <c r="I276" s="17" t="s">
        <v>562</v>
      </c>
      <c r="J276" s="17" t="s">
        <v>326</v>
      </c>
      <c r="K276" s="17" t="s">
        <v>563</v>
      </c>
      <c r="L276" s="17" t="s">
        <v>45</v>
      </c>
      <c r="M276" s="17" t="s">
        <v>782</v>
      </c>
      <c r="N276" s="17" t="s">
        <v>64</v>
      </c>
    </row>
    <row r="277" ht="60.0" customHeight="1">
      <c r="A277" s="20" t="s">
        <v>131</v>
      </c>
      <c r="B277" s="20" t="s">
        <v>55</v>
      </c>
      <c r="C277" s="20" t="s">
        <v>560</v>
      </c>
      <c r="D277" s="20" t="s">
        <v>39</v>
      </c>
      <c r="E277" s="20" t="s">
        <v>40</v>
      </c>
      <c r="F277" s="37">
        <v>43.79</v>
      </c>
      <c r="G277" s="20" t="s">
        <v>837</v>
      </c>
      <c r="H277" s="20" t="s">
        <v>560</v>
      </c>
      <c r="I277" s="20" t="s">
        <v>562</v>
      </c>
      <c r="J277" s="20" t="s">
        <v>326</v>
      </c>
      <c r="K277" s="20" t="s">
        <v>563</v>
      </c>
      <c r="L277" s="20" t="s">
        <v>45</v>
      </c>
      <c r="M277" s="20" t="s">
        <v>838</v>
      </c>
      <c r="N277" s="20" t="s">
        <v>64</v>
      </c>
    </row>
    <row r="278" ht="60.0" customHeight="1">
      <c r="A278" s="17" t="s">
        <v>131</v>
      </c>
      <c r="B278" s="17" t="s">
        <v>55</v>
      </c>
      <c r="C278" s="17" t="s">
        <v>560</v>
      </c>
      <c r="D278" s="17" t="s">
        <v>39</v>
      </c>
      <c r="E278" s="17" t="s">
        <v>40</v>
      </c>
      <c r="F278" s="36">
        <v>81.83</v>
      </c>
      <c r="G278" s="17" t="s">
        <v>997</v>
      </c>
      <c r="H278" s="17" t="s">
        <v>560</v>
      </c>
      <c r="I278" s="17" t="s">
        <v>562</v>
      </c>
      <c r="J278" s="17" t="s">
        <v>326</v>
      </c>
      <c r="K278" s="17" t="s">
        <v>563</v>
      </c>
      <c r="L278" s="17" t="s">
        <v>45</v>
      </c>
      <c r="M278" s="17" t="s">
        <v>998</v>
      </c>
      <c r="N278" s="17" t="s">
        <v>64</v>
      </c>
    </row>
    <row r="279" ht="60.0" customHeight="1">
      <c r="A279" s="20" t="s">
        <v>131</v>
      </c>
      <c r="B279" s="20" t="s">
        <v>55</v>
      </c>
      <c r="C279" s="20" t="s">
        <v>1245</v>
      </c>
      <c r="D279" s="20" t="s">
        <v>67</v>
      </c>
      <c r="E279" s="20" t="s">
        <v>68</v>
      </c>
      <c r="F279" s="37">
        <v>226.79</v>
      </c>
      <c r="G279" s="20" t="s">
        <v>1246</v>
      </c>
      <c r="H279" s="20" t="s">
        <v>1245</v>
      </c>
      <c r="I279" s="20" t="s">
        <v>1247</v>
      </c>
      <c r="J279" s="20" t="s">
        <v>87</v>
      </c>
      <c r="K279" s="20" t="s">
        <v>1248</v>
      </c>
      <c r="L279" s="20" t="s">
        <v>45</v>
      </c>
      <c r="M279" s="20" t="s">
        <v>1249</v>
      </c>
      <c r="N279" s="20" t="s">
        <v>107</v>
      </c>
    </row>
    <row r="280" ht="60.0" customHeight="1">
      <c r="A280" s="17" t="s">
        <v>131</v>
      </c>
      <c r="B280" s="17" t="s">
        <v>55</v>
      </c>
      <c r="C280" s="17" t="s">
        <v>879</v>
      </c>
      <c r="D280" s="17" t="s">
        <v>39</v>
      </c>
      <c r="E280" s="17" t="s">
        <v>40</v>
      </c>
      <c r="F280" s="36">
        <v>51.0</v>
      </c>
      <c r="G280" s="17" t="s">
        <v>880</v>
      </c>
      <c r="H280" s="17" t="s">
        <v>879</v>
      </c>
      <c r="I280" s="17" t="s">
        <v>208</v>
      </c>
      <c r="J280" s="17" t="s">
        <v>97</v>
      </c>
      <c r="K280" s="17" t="s">
        <v>98</v>
      </c>
      <c r="L280" s="17" t="s">
        <v>45</v>
      </c>
      <c r="M280" s="17" t="s">
        <v>881</v>
      </c>
      <c r="N280" s="17" t="s">
        <v>64</v>
      </c>
    </row>
    <row r="281" ht="60.0" customHeight="1">
      <c r="A281" s="20" t="s">
        <v>131</v>
      </c>
      <c r="B281" s="20" t="s">
        <v>55</v>
      </c>
      <c r="C281" s="20" t="s">
        <v>92</v>
      </c>
      <c r="D281" s="20" t="s">
        <v>127</v>
      </c>
      <c r="E281" s="20" t="s">
        <v>128</v>
      </c>
      <c r="F281" s="37">
        <v>13.86</v>
      </c>
      <c r="G281" s="20" t="s">
        <v>132</v>
      </c>
      <c r="H281" s="20" t="s">
        <v>92</v>
      </c>
      <c r="I281" s="20" t="s">
        <v>96</v>
      </c>
      <c r="J281" s="20" t="s">
        <v>97</v>
      </c>
      <c r="K281" s="20" t="s">
        <v>98</v>
      </c>
      <c r="L281" s="20" t="s">
        <v>45</v>
      </c>
      <c r="M281" s="20" t="s">
        <v>133</v>
      </c>
      <c r="N281" s="20" t="s">
        <v>64</v>
      </c>
    </row>
    <row r="282" ht="60.0" customHeight="1">
      <c r="A282" s="17" t="s">
        <v>131</v>
      </c>
      <c r="B282" s="17" t="s">
        <v>55</v>
      </c>
      <c r="C282" s="17" t="s">
        <v>92</v>
      </c>
      <c r="D282" s="17" t="s">
        <v>138</v>
      </c>
      <c r="E282" s="17" t="s">
        <v>139</v>
      </c>
      <c r="F282" s="36">
        <v>153.49</v>
      </c>
      <c r="G282" s="17" t="s">
        <v>1147</v>
      </c>
      <c r="H282" s="17" t="s">
        <v>92</v>
      </c>
      <c r="I282" s="17" t="s">
        <v>208</v>
      </c>
      <c r="J282" s="17" t="s">
        <v>97</v>
      </c>
      <c r="K282" s="17" t="s">
        <v>98</v>
      </c>
      <c r="L282" s="17" t="s">
        <v>45</v>
      </c>
      <c r="M282" s="17" t="s">
        <v>1148</v>
      </c>
      <c r="N282" s="17" t="s">
        <v>64</v>
      </c>
    </row>
    <row r="283" ht="60.0" customHeight="1">
      <c r="A283" s="20" t="s">
        <v>131</v>
      </c>
      <c r="B283" s="20" t="s">
        <v>55</v>
      </c>
      <c r="C283" s="20" t="s">
        <v>66</v>
      </c>
      <c r="D283" s="20" t="s">
        <v>67</v>
      </c>
      <c r="E283" s="20" t="s">
        <v>68</v>
      </c>
      <c r="F283" s="37">
        <v>117.91</v>
      </c>
      <c r="G283" s="20" t="s">
        <v>336</v>
      </c>
      <c r="H283" s="20" t="s">
        <v>66</v>
      </c>
      <c r="I283" s="20" t="s">
        <v>70</v>
      </c>
      <c r="J283" s="20" t="s">
        <v>71</v>
      </c>
      <c r="K283" s="20" t="s">
        <v>72</v>
      </c>
      <c r="L283" s="20" t="s">
        <v>45</v>
      </c>
      <c r="M283" s="20" t="s">
        <v>337</v>
      </c>
      <c r="N283" s="20" t="s">
        <v>74</v>
      </c>
    </row>
    <row r="284" ht="60.0" customHeight="1">
      <c r="A284" s="17" t="s">
        <v>131</v>
      </c>
      <c r="B284" s="17" t="s">
        <v>55</v>
      </c>
      <c r="C284" s="17" t="s">
        <v>348</v>
      </c>
      <c r="D284" s="17" t="s">
        <v>57</v>
      </c>
      <c r="E284" s="17" t="s">
        <v>58</v>
      </c>
      <c r="F284" s="36">
        <v>134.2</v>
      </c>
      <c r="G284" s="17" t="s">
        <v>349</v>
      </c>
      <c r="H284" s="17" t="s">
        <v>348</v>
      </c>
      <c r="I284" s="17" t="s">
        <v>350</v>
      </c>
      <c r="J284" s="17" t="s">
        <v>119</v>
      </c>
      <c r="K284" s="17" t="s">
        <v>120</v>
      </c>
      <c r="L284" s="17" t="s">
        <v>45</v>
      </c>
      <c r="M284" s="17" t="s">
        <v>351</v>
      </c>
      <c r="N284" s="17" t="s">
        <v>64</v>
      </c>
    </row>
    <row r="285" ht="60.0" customHeight="1">
      <c r="A285" s="20" t="s">
        <v>131</v>
      </c>
      <c r="B285" s="20" t="s">
        <v>55</v>
      </c>
      <c r="C285" s="20" t="s">
        <v>352</v>
      </c>
      <c r="D285" s="20" t="s">
        <v>353</v>
      </c>
      <c r="E285" s="20" t="s">
        <v>354</v>
      </c>
      <c r="F285" s="37">
        <v>137.79</v>
      </c>
      <c r="G285" s="20" t="s">
        <v>355</v>
      </c>
      <c r="H285" s="20" t="s">
        <v>352</v>
      </c>
      <c r="I285" s="20" t="s">
        <v>356</v>
      </c>
      <c r="J285" s="20" t="s">
        <v>357</v>
      </c>
      <c r="K285" s="20" t="s">
        <v>358</v>
      </c>
      <c r="L285" s="20" t="s">
        <v>45</v>
      </c>
      <c r="M285" s="20" t="s">
        <v>359</v>
      </c>
      <c r="N285" s="20" t="s">
        <v>90</v>
      </c>
    </row>
    <row r="286" ht="60.0" customHeight="1">
      <c r="A286" s="17" t="s">
        <v>131</v>
      </c>
      <c r="B286" s="17" t="s">
        <v>55</v>
      </c>
      <c r="C286" s="17" t="s">
        <v>228</v>
      </c>
      <c r="D286" s="17" t="s">
        <v>57</v>
      </c>
      <c r="E286" s="17" t="s">
        <v>58</v>
      </c>
      <c r="F286" s="36">
        <v>98.77</v>
      </c>
      <c r="G286" s="17" t="s">
        <v>288</v>
      </c>
      <c r="H286" s="17" t="s">
        <v>228</v>
      </c>
      <c r="I286" s="17" t="s">
        <v>230</v>
      </c>
      <c r="J286" s="17" t="s">
        <v>119</v>
      </c>
      <c r="K286" s="17" t="s">
        <v>231</v>
      </c>
      <c r="L286" s="17" t="s">
        <v>45</v>
      </c>
      <c r="M286" s="17" t="s">
        <v>289</v>
      </c>
      <c r="N286" s="17" t="s">
        <v>64</v>
      </c>
    </row>
    <row r="287" ht="60.0" customHeight="1">
      <c r="A287" s="20" t="s">
        <v>131</v>
      </c>
      <c r="B287" s="20" t="s">
        <v>55</v>
      </c>
      <c r="C287" s="20" t="s">
        <v>535</v>
      </c>
      <c r="D287" s="20" t="s">
        <v>149</v>
      </c>
      <c r="E287" s="20" t="s">
        <v>150</v>
      </c>
      <c r="F287" s="37">
        <v>9.17</v>
      </c>
      <c r="G287" s="20" t="s">
        <v>536</v>
      </c>
      <c r="H287" s="20" t="s">
        <v>535</v>
      </c>
      <c r="I287" s="20" t="s">
        <v>537</v>
      </c>
      <c r="J287" s="20" t="s">
        <v>538</v>
      </c>
      <c r="K287" s="20" t="s">
        <v>539</v>
      </c>
      <c r="L287" s="20" t="s">
        <v>45</v>
      </c>
      <c r="M287" s="20" t="s">
        <v>540</v>
      </c>
      <c r="N287" s="20" t="s">
        <v>74</v>
      </c>
    </row>
    <row r="288" ht="60.0" customHeight="1">
      <c r="A288" s="17" t="s">
        <v>131</v>
      </c>
      <c r="B288" s="17" t="s">
        <v>55</v>
      </c>
      <c r="C288" s="17" t="s">
        <v>1177</v>
      </c>
      <c r="D288" s="17" t="s">
        <v>353</v>
      </c>
      <c r="E288" s="17" t="s">
        <v>354</v>
      </c>
      <c r="F288" s="36">
        <v>172.51</v>
      </c>
      <c r="G288" s="17" t="s">
        <v>1178</v>
      </c>
      <c r="H288" s="17" t="s">
        <v>1177</v>
      </c>
      <c r="I288" s="17" t="s">
        <v>1179</v>
      </c>
      <c r="J288" s="17" t="s">
        <v>305</v>
      </c>
      <c r="K288" s="17" t="s">
        <v>583</v>
      </c>
      <c r="L288" s="17" t="s">
        <v>45</v>
      </c>
      <c r="M288" s="17" t="s">
        <v>1180</v>
      </c>
      <c r="N288" s="17" t="s">
        <v>182</v>
      </c>
    </row>
    <row r="289" ht="60.0" customHeight="1">
      <c r="A289" s="20" t="s">
        <v>131</v>
      </c>
      <c r="B289" s="20" t="s">
        <v>55</v>
      </c>
      <c r="C289" s="20" t="s">
        <v>1099</v>
      </c>
      <c r="D289" s="20" t="s">
        <v>138</v>
      </c>
      <c r="E289" s="20" t="s">
        <v>139</v>
      </c>
      <c r="F289" s="37">
        <v>127.97</v>
      </c>
      <c r="G289" s="20" t="s">
        <v>1100</v>
      </c>
      <c r="H289" s="20" t="s">
        <v>1099</v>
      </c>
      <c r="I289" s="20" t="s">
        <v>1101</v>
      </c>
      <c r="J289" s="20" t="s">
        <v>142</v>
      </c>
      <c r="K289" s="20" t="s">
        <v>1102</v>
      </c>
      <c r="L289" s="20" t="s">
        <v>45</v>
      </c>
      <c r="M289" s="20" t="s">
        <v>1103</v>
      </c>
      <c r="N289" s="20" t="s">
        <v>114</v>
      </c>
    </row>
    <row r="290" ht="60.0" customHeight="1">
      <c r="A290" s="17" t="s">
        <v>131</v>
      </c>
      <c r="B290" s="17" t="s">
        <v>55</v>
      </c>
      <c r="C290" s="17" t="s">
        <v>263</v>
      </c>
      <c r="D290" s="17" t="s">
        <v>138</v>
      </c>
      <c r="E290" s="17" t="s">
        <v>139</v>
      </c>
      <c r="F290" s="36">
        <v>219.11</v>
      </c>
      <c r="G290" s="17" t="s">
        <v>1239</v>
      </c>
      <c r="H290" s="17" t="s">
        <v>263</v>
      </c>
      <c r="I290" s="17" t="s">
        <v>265</v>
      </c>
      <c r="J290" s="17" t="s">
        <v>142</v>
      </c>
      <c r="K290" s="17" t="s">
        <v>166</v>
      </c>
      <c r="L290" s="17" t="s">
        <v>45</v>
      </c>
      <c r="M290" s="17" t="s">
        <v>1240</v>
      </c>
      <c r="N290" s="17" t="s">
        <v>114</v>
      </c>
    </row>
    <row r="291" ht="60.0" customHeight="1">
      <c r="A291" s="20" t="s">
        <v>131</v>
      </c>
      <c r="B291" s="20" t="s">
        <v>55</v>
      </c>
      <c r="C291" s="20" t="s">
        <v>246</v>
      </c>
      <c r="D291" s="20" t="s">
        <v>138</v>
      </c>
      <c r="E291" s="20" t="s">
        <v>139</v>
      </c>
      <c r="F291" s="37">
        <v>61.02</v>
      </c>
      <c r="G291" s="20" t="s">
        <v>247</v>
      </c>
      <c r="H291" s="20" t="s">
        <v>246</v>
      </c>
      <c r="I291" s="20" t="s">
        <v>248</v>
      </c>
      <c r="J291" s="20" t="s">
        <v>71</v>
      </c>
      <c r="K291" s="20" t="s">
        <v>249</v>
      </c>
      <c r="L291" s="20" t="s">
        <v>45</v>
      </c>
      <c r="M291" s="20" t="s">
        <v>250</v>
      </c>
      <c r="N291" s="20" t="s">
        <v>114</v>
      </c>
    </row>
    <row r="292" ht="60.0" customHeight="1">
      <c r="A292" s="17" t="s">
        <v>131</v>
      </c>
      <c r="B292" s="17" t="s">
        <v>55</v>
      </c>
      <c r="C292" s="17" t="s">
        <v>1355</v>
      </c>
      <c r="D292" s="17" t="s">
        <v>39</v>
      </c>
      <c r="E292" s="17" t="s">
        <v>40</v>
      </c>
      <c r="F292" s="36">
        <v>525.96</v>
      </c>
      <c r="G292" s="17" t="s">
        <v>1356</v>
      </c>
      <c r="H292" s="17" t="s">
        <v>1355</v>
      </c>
      <c r="I292" s="17" t="s">
        <v>1357</v>
      </c>
      <c r="J292" s="17" t="s">
        <v>371</v>
      </c>
      <c r="K292" s="17" t="s">
        <v>372</v>
      </c>
      <c r="L292" s="17" t="s">
        <v>45</v>
      </c>
      <c r="M292" s="17" t="s">
        <v>1358</v>
      </c>
      <c r="N292" s="17" t="s">
        <v>174</v>
      </c>
    </row>
    <row r="293" ht="60.0" customHeight="1">
      <c r="A293" s="20" t="s">
        <v>115</v>
      </c>
      <c r="B293" s="20" t="s">
        <v>55</v>
      </c>
      <c r="C293" s="20" t="s">
        <v>494</v>
      </c>
      <c r="D293" s="20" t="s">
        <v>93</v>
      </c>
      <c r="E293" s="20" t="s">
        <v>94</v>
      </c>
      <c r="F293" s="37">
        <v>3161.88</v>
      </c>
      <c r="G293" s="20" t="s">
        <v>495</v>
      </c>
      <c r="H293" s="20" t="s">
        <v>494</v>
      </c>
      <c r="I293" s="20" t="s">
        <v>285</v>
      </c>
      <c r="J293" s="20" t="s">
        <v>71</v>
      </c>
      <c r="K293" s="20" t="s">
        <v>249</v>
      </c>
      <c r="L293" s="20" t="s">
        <v>45</v>
      </c>
      <c r="M293" s="20" t="s">
        <v>496</v>
      </c>
      <c r="N293" s="20" t="s">
        <v>287</v>
      </c>
    </row>
    <row r="294" ht="60.0" customHeight="1">
      <c r="A294" s="17" t="s">
        <v>115</v>
      </c>
      <c r="B294" s="17" t="s">
        <v>55</v>
      </c>
      <c r="C294" s="17" t="s">
        <v>1399</v>
      </c>
      <c r="D294" s="17" t="s">
        <v>67</v>
      </c>
      <c r="E294" s="17" t="s">
        <v>68</v>
      </c>
      <c r="F294" s="36">
        <v>-87.34</v>
      </c>
      <c r="G294" s="17" t="s">
        <v>1404</v>
      </c>
      <c r="H294" s="17" t="s">
        <v>1399</v>
      </c>
      <c r="I294" s="17" t="s">
        <v>285</v>
      </c>
      <c r="J294" s="17" t="s">
        <v>71</v>
      </c>
      <c r="K294" s="17" t="s">
        <v>249</v>
      </c>
      <c r="L294" s="17" t="s">
        <v>45</v>
      </c>
      <c r="M294" s="17" t="s">
        <v>1405</v>
      </c>
      <c r="N294" s="17" t="s">
        <v>287</v>
      </c>
    </row>
    <row r="295" ht="60.0" customHeight="1">
      <c r="A295" s="20" t="s">
        <v>115</v>
      </c>
      <c r="B295" s="20" t="s">
        <v>55</v>
      </c>
      <c r="C295" s="20" t="s">
        <v>1260</v>
      </c>
      <c r="D295" s="20" t="s">
        <v>39</v>
      </c>
      <c r="E295" s="20" t="s">
        <v>40</v>
      </c>
      <c r="F295" s="37">
        <v>255.84</v>
      </c>
      <c r="G295" s="20" t="s">
        <v>1261</v>
      </c>
      <c r="H295" s="20" t="s">
        <v>1260</v>
      </c>
      <c r="I295" s="20" t="s">
        <v>1262</v>
      </c>
      <c r="J295" s="20" t="s">
        <v>687</v>
      </c>
      <c r="K295" s="20" t="s">
        <v>688</v>
      </c>
      <c r="L295" s="20" t="s">
        <v>45</v>
      </c>
      <c r="M295" s="20" t="s">
        <v>1263</v>
      </c>
      <c r="N295" s="20" t="s">
        <v>300</v>
      </c>
    </row>
    <row r="296" ht="60.0" customHeight="1">
      <c r="A296" s="17" t="s">
        <v>115</v>
      </c>
      <c r="B296" s="17" t="s">
        <v>55</v>
      </c>
      <c r="C296" s="17" t="s">
        <v>116</v>
      </c>
      <c r="D296" s="17" t="s">
        <v>57</v>
      </c>
      <c r="E296" s="17" t="s">
        <v>58</v>
      </c>
      <c r="F296" s="36">
        <v>10.35</v>
      </c>
      <c r="G296" s="17" t="s">
        <v>117</v>
      </c>
      <c r="H296" s="17" t="s">
        <v>116</v>
      </c>
      <c r="I296" s="17" t="s">
        <v>118</v>
      </c>
      <c r="J296" s="17" t="s">
        <v>119</v>
      </c>
      <c r="K296" s="17" t="s">
        <v>120</v>
      </c>
      <c r="L296" s="17" t="s">
        <v>45</v>
      </c>
      <c r="M296" s="17" t="s">
        <v>121</v>
      </c>
      <c r="N296" s="17" t="s">
        <v>122</v>
      </c>
    </row>
    <row r="297" ht="60.0" customHeight="1">
      <c r="A297" s="20" t="s">
        <v>115</v>
      </c>
      <c r="B297" s="20" t="s">
        <v>55</v>
      </c>
      <c r="C297" s="20" t="s">
        <v>56</v>
      </c>
      <c r="D297" s="20" t="s">
        <v>93</v>
      </c>
      <c r="E297" s="20" t="s">
        <v>94</v>
      </c>
      <c r="F297" s="37">
        <v>124.83</v>
      </c>
      <c r="G297" s="20" t="s">
        <v>1093</v>
      </c>
      <c r="H297" s="20" t="s">
        <v>56</v>
      </c>
      <c r="I297" s="20" t="s">
        <v>60</v>
      </c>
      <c r="J297" s="20" t="s">
        <v>61</v>
      </c>
      <c r="K297" s="20" t="s">
        <v>62</v>
      </c>
      <c r="L297" s="20" t="s">
        <v>45</v>
      </c>
      <c r="M297" s="20" t="s">
        <v>1094</v>
      </c>
      <c r="N297" s="20" t="s">
        <v>64</v>
      </c>
    </row>
    <row r="298" ht="60.0" customHeight="1">
      <c r="A298" s="17" t="s">
        <v>115</v>
      </c>
      <c r="B298" s="17" t="s">
        <v>55</v>
      </c>
      <c r="C298" s="17" t="s">
        <v>560</v>
      </c>
      <c r="D298" s="17" t="s">
        <v>39</v>
      </c>
      <c r="E298" s="17" t="s">
        <v>40</v>
      </c>
      <c r="F298" s="36">
        <v>27.41</v>
      </c>
      <c r="G298" s="17" t="s">
        <v>731</v>
      </c>
      <c r="H298" s="17" t="s">
        <v>560</v>
      </c>
      <c r="I298" s="17" t="s">
        <v>562</v>
      </c>
      <c r="J298" s="17" t="s">
        <v>326</v>
      </c>
      <c r="K298" s="17" t="s">
        <v>563</v>
      </c>
      <c r="L298" s="17" t="s">
        <v>45</v>
      </c>
      <c r="M298" s="17" t="s">
        <v>732</v>
      </c>
      <c r="N298" s="17" t="s">
        <v>64</v>
      </c>
    </row>
    <row r="299" ht="60.0" customHeight="1">
      <c r="A299" s="20" t="s">
        <v>115</v>
      </c>
      <c r="B299" s="20" t="s">
        <v>55</v>
      </c>
      <c r="C299" s="20" t="s">
        <v>560</v>
      </c>
      <c r="D299" s="20" t="s">
        <v>39</v>
      </c>
      <c r="E299" s="20" t="s">
        <v>40</v>
      </c>
      <c r="F299" s="37">
        <v>114.25</v>
      </c>
      <c r="G299" s="20" t="s">
        <v>1084</v>
      </c>
      <c r="H299" s="20" t="s">
        <v>560</v>
      </c>
      <c r="I299" s="20" t="s">
        <v>562</v>
      </c>
      <c r="J299" s="20" t="s">
        <v>326</v>
      </c>
      <c r="K299" s="20" t="s">
        <v>563</v>
      </c>
      <c r="L299" s="20" t="s">
        <v>45</v>
      </c>
      <c r="M299" s="20" t="s">
        <v>1085</v>
      </c>
      <c r="N299" s="20" t="s">
        <v>64</v>
      </c>
    </row>
    <row r="300" ht="60.0" customHeight="1">
      <c r="A300" s="17" t="s">
        <v>115</v>
      </c>
      <c r="B300" s="17" t="s">
        <v>55</v>
      </c>
      <c r="C300" s="17" t="s">
        <v>92</v>
      </c>
      <c r="D300" s="17" t="s">
        <v>127</v>
      </c>
      <c r="E300" s="17" t="s">
        <v>128</v>
      </c>
      <c r="F300" s="36">
        <v>12.19</v>
      </c>
      <c r="G300" s="17" t="s">
        <v>585</v>
      </c>
      <c r="H300" s="17" t="s">
        <v>92</v>
      </c>
      <c r="I300" s="17" t="s">
        <v>96</v>
      </c>
      <c r="J300" s="17" t="s">
        <v>97</v>
      </c>
      <c r="K300" s="17" t="s">
        <v>98</v>
      </c>
      <c r="L300" s="17" t="s">
        <v>45</v>
      </c>
      <c r="M300" s="17" t="s">
        <v>586</v>
      </c>
      <c r="N300" s="17" t="s">
        <v>64</v>
      </c>
    </row>
    <row r="301" ht="60.0" customHeight="1">
      <c r="A301" s="20" t="s">
        <v>115</v>
      </c>
      <c r="B301" s="20" t="s">
        <v>55</v>
      </c>
      <c r="C301" s="20" t="s">
        <v>92</v>
      </c>
      <c r="D301" s="20" t="s">
        <v>93</v>
      </c>
      <c r="E301" s="20" t="s">
        <v>94</v>
      </c>
      <c r="F301" s="37">
        <v>22.47</v>
      </c>
      <c r="G301" s="20" t="s">
        <v>690</v>
      </c>
      <c r="H301" s="20" t="s">
        <v>92</v>
      </c>
      <c r="I301" s="20" t="s">
        <v>208</v>
      </c>
      <c r="J301" s="20" t="s">
        <v>97</v>
      </c>
      <c r="K301" s="20" t="s">
        <v>98</v>
      </c>
      <c r="L301" s="20" t="s">
        <v>45</v>
      </c>
      <c r="M301" s="20" t="s">
        <v>691</v>
      </c>
      <c r="N301" s="20" t="s">
        <v>64</v>
      </c>
    </row>
    <row r="302" ht="60.0" customHeight="1">
      <c r="A302" s="17" t="s">
        <v>115</v>
      </c>
      <c r="B302" s="17" t="s">
        <v>55</v>
      </c>
      <c r="C302" s="17" t="s">
        <v>92</v>
      </c>
      <c r="D302" s="17" t="s">
        <v>93</v>
      </c>
      <c r="E302" s="17" t="s">
        <v>94</v>
      </c>
      <c r="F302" s="36">
        <v>47.28</v>
      </c>
      <c r="G302" s="17" t="s">
        <v>853</v>
      </c>
      <c r="H302" s="17" t="s">
        <v>92</v>
      </c>
      <c r="I302" s="17" t="s">
        <v>208</v>
      </c>
      <c r="J302" s="17" t="s">
        <v>97</v>
      </c>
      <c r="K302" s="17" t="s">
        <v>98</v>
      </c>
      <c r="L302" s="17" t="s">
        <v>45</v>
      </c>
      <c r="M302" s="17" t="s">
        <v>854</v>
      </c>
      <c r="N302" s="17" t="s">
        <v>64</v>
      </c>
    </row>
    <row r="303" ht="60.0" customHeight="1">
      <c r="A303" s="20" t="s">
        <v>115</v>
      </c>
      <c r="B303" s="20" t="s">
        <v>55</v>
      </c>
      <c r="C303" s="20" t="s">
        <v>92</v>
      </c>
      <c r="D303" s="20" t="s">
        <v>138</v>
      </c>
      <c r="E303" s="20" t="s">
        <v>139</v>
      </c>
      <c r="F303" s="37">
        <v>158.66</v>
      </c>
      <c r="G303" s="20" t="s">
        <v>1155</v>
      </c>
      <c r="H303" s="20" t="s">
        <v>92</v>
      </c>
      <c r="I303" s="20" t="s">
        <v>208</v>
      </c>
      <c r="J303" s="20" t="s">
        <v>97</v>
      </c>
      <c r="K303" s="20" t="s">
        <v>98</v>
      </c>
      <c r="L303" s="20" t="s">
        <v>45</v>
      </c>
      <c r="M303" s="20" t="s">
        <v>1156</v>
      </c>
      <c r="N303" s="20" t="s">
        <v>64</v>
      </c>
    </row>
    <row r="304" ht="60.0" customHeight="1">
      <c r="A304" s="17" t="s">
        <v>115</v>
      </c>
      <c r="B304" s="17" t="s">
        <v>55</v>
      </c>
      <c r="C304" s="17" t="s">
        <v>92</v>
      </c>
      <c r="D304" s="17" t="s">
        <v>93</v>
      </c>
      <c r="E304" s="17" t="s">
        <v>94</v>
      </c>
      <c r="F304" s="36">
        <v>172.65</v>
      </c>
      <c r="G304" s="17" t="s">
        <v>1181</v>
      </c>
      <c r="H304" s="17" t="s">
        <v>92</v>
      </c>
      <c r="I304" s="17" t="s">
        <v>208</v>
      </c>
      <c r="J304" s="17" t="s">
        <v>97</v>
      </c>
      <c r="K304" s="17" t="s">
        <v>98</v>
      </c>
      <c r="L304" s="17" t="s">
        <v>45</v>
      </c>
      <c r="M304" s="17" t="s">
        <v>1182</v>
      </c>
      <c r="N304" s="17" t="s">
        <v>64</v>
      </c>
    </row>
    <row r="305" ht="60.0" customHeight="1">
      <c r="A305" s="20" t="s">
        <v>115</v>
      </c>
      <c r="B305" s="20" t="s">
        <v>55</v>
      </c>
      <c r="C305" s="20" t="s">
        <v>92</v>
      </c>
      <c r="D305" s="20" t="s">
        <v>93</v>
      </c>
      <c r="E305" s="20" t="s">
        <v>94</v>
      </c>
      <c r="F305" s="37">
        <v>174.89</v>
      </c>
      <c r="G305" s="20" t="s">
        <v>1191</v>
      </c>
      <c r="H305" s="20" t="s">
        <v>92</v>
      </c>
      <c r="I305" s="20" t="s">
        <v>208</v>
      </c>
      <c r="J305" s="20" t="s">
        <v>97</v>
      </c>
      <c r="K305" s="20" t="s">
        <v>98</v>
      </c>
      <c r="L305" s="20" t="s">
        <v>45</v>
      </c>
      <c r="M305" s="20" t="s">
        <v>1192</v>
      </c>
      <c r="N305" s="20" t="s">
        <v>64</v>
      </c>
    </row>
    <row r="306" ht="60.0" customHeight="1">
      <c r="A306" s="17" t="s">
        <v>115</v>
      </c>
      <c r="B306" s="17" t="s">
        <v>55</v>
      </c>
      <c r="C306" s="17" t="s">
        <v>445</v>
      </c>
      <c r="D306" s="17" t="s">
        <v>93</v>
      </c>
      <c r="E306" s="17" t="s">
        <v>94</v>
      </c>
      <c r="F306" s="36">
        <v>2753.42</v>
      </c>
      <c r="G306" s="17" t="s">
        <v>492</v>
      </c>
      <c r="H306" s="17" t="s">
        <v>445</v>
      </c>
      <c r="I306" s="17" t="s">
        <v>447</v>
      </c>
      <c r="J306" s="17" t="s">
        <v>142</v>
      </c>
      <c r="K306" s="17" t="s">
        <v>143</v>
      </c>
      <c r="L306" s="17" t="s">
        <v>45</v>
      </c>
      <c r="M306" s="17" t="s">
        <v>493</v>
      </c>
      <c r="N306" s="17" t="s">
        <v>182</v>
      </c>
    </row>
    <row r="307" ht="60.0" customHeight="1">
      <c r="A307" s="20" t="s">
        <v>115</v>
      </c>
      <c r="B307" s="20" t="s">
        <v>55</v>
      </c>
      <c r="C307" s="20" t="s">
        <v>820</v>
      </c>
      <c r="D307" s="20" t="s">
        <v>39</v>
      </c>
      <c r="E307" s="20" t="s">
        <v>40</v>
      </c>
      <c r="F307" s="37">
        <v>394.34</v>
      </c>
      <c r="G307" s="20" t="s">
        <v>1334</v>
      </c>
      <c r="H307" s="20" t="s">
        <v>820</v>
      </c>
      <c r="I307" s="20" t="s">
        <v>822</v>
      </c>
      <c r="J307" s="20" t="s">
        <v>43</v>
      </c>
      <c r="K307" s="20" t="s">
        <v>823</v>
      </c>
      <c r="L307" s="20" t="s">
        <v>45</v>
      </c>
      <c r="M307" s="20" t="s">
        <v>1335</v>
      </c>
      <c r="N307" s="20" t="s">
        <v>182</v>
      </c>
    </row>
    <row r="308" ht="60.0" customHeight="1">
      <c r="A308" s="17" t="s">
        <v>115</v>
      </c>
      <c r="B308" s="17" t="s">
        <v>55</v>
      </c>
      <c r="C308" s="17" t="s">
        <v>1130</v>
      </c>
      <c r="D308" s="17" t="s">
        <v>353</v>
      </c>
      <c r="E308" s="17" t="s">
        <v>354</v>
      </c>
      <c r="F308" s="36">
        <v>222.28</v>
      </c>
      <c r="G308" s="17" t="s">
        <v>1243</v>
      </c>
      <c r="H308" s="17" t="s">
        <v>1130</v>
      </c>
      <c r="I308" s="17" t="s">
        <v>1132</v>
      </c>
      <c r="J308" s="17" t="s">
        <v>1133</v>
      </c>
      <c r="K308" s="17" t="s">
        <v>1134</v>
      </c>
      <c r="L308" s="17" t="s">
        <v>45</v>
      </c>
      <c r="M308" s="17" t="s">
        <v>1244</v>
      </c>
      <c r="N308" s="17" t="s">
        <v>182</v>
      </c>
    </row>
    <row r="309" ht="60.0" customHeight="1">
      <c r="A309" s="20" t="s">
        <v>115</v>
      </c>
      <c r="B309" s="20" t="s">
        <v>378</v>
      </c>
      <c r="C309" s="20" t="s">
        <v>379</v>
      </c>
      <c r="D309" s="20" t="s">
        <v>93</v>
      </c>
      <c r="E309" s="20" t="s">
        <v>94</v>
      </c>
      <c r="F309" s="37">
        <v>158.46</v>
      </c>
      <c r="G309" s="20" t="s">
        <v>380</v>
      </c>
      <c r="H309" s="20" t="s">
        <v>379</v>
      </c>
      <c r="I309" s="20" t="s">
        <v>381</v>
      </c>
      <c r="J309" s="20" t="s">
        <v>142</v>
      </c>
      <c r="K309" s="20" t="s">
        <v>143</v>
      </c>
      <c r="L309" s="20" t="s">
        <v>45</v>
      </c>
      <c r="M309" s="20" t="s">
        <v>382</v>
      </c>
      <c r="N309" s="20" t="s">
        <v>114</v>
      </c>
    </row>
    <row r="310" ht="60.0" customHeight="1">
      <c r="A310" s="17" t="s">
        <v>115</v>
      </c>
      <c r="B310" s="17" t="s">
        <v>55</v>
      </c>
      <c r="C310" s="17" t="s">
        <v>650</v>
      </c>
      <c r="D310" s="17" t="s">
        <v>39</v>
      </c>
      <c r="E310" s="17" t="s">
        <v>40</v>
      </c>
      <c r="F310" s="36">
        <v>17.87</v>
      </c>
      <c r="G310" s="17" t="s">
        <v>651</v>
      </c>
      <c r="H310" s="17" t="s">
        <v>650</v>
      </c>
      <c r="I310" s="17" t="s">
        <v>652</v>
      </c>
      <c r="J310" s="17" t="s">
        <v>119</v>
      </c>
      <c r="K310" s="17" t="s">
        <v>653</v>
      </c>
      <c r="L310" s="17" t="s">
        <v>45</v>
      </c>
      <c r="M310" s="17" t="s">
        <v>654</v>
      </c>
      <c r="N310" s="17" t="s">
        <v>182</v>
      </c>
    </row>
    <row r="311" ht="60.0" customHeight="1">
      <c r="A311" s="20" t="s">
        <v>115</v>
      </c>
      <c r="B311" s="20" t="s">
        <v>55</v>
      </c>
      <c r="C311" s="20" t="s">
        <v>554</v>
      </c>
      <c r="D311" s="20" t="s">
        <v>149</v>
      </c>
      <c r="E311" s="20" t="s">
        <v>150</v>
      </c>
      <c r="F311" s="37">
        <v>10.58</v>
      </c>
      <c r="G311" s="20" t="s">
        <v>555</v>
      </c>
      <c r="H311" s="20" t="s">
        <v>554</v>
      </c>
      <c r="I311" s="20" t="s">
        <v>188</v>
      </c>
      <c r="J311" s="20" t="s">
        <v>189</v>
      </c>
      <c r="K311" s="20" t="s">
        <v>190</v>
      </c>
      <c r="L311" s="20" t="s">
        <v>45</v>
      </c>
      <c r="M311" s="20" t="s">
        <v>556</v>
      </c>
      <c r="N311" s="20" t="s">
        <v>64</v>
      </c>
    </row>
    <row r="312" ht="60.0" customHeight="1">
      <c r="A312" s="17" t="s">
        <v>115</v>
      </c>
      <c r="B312" s="17" t="s">
        <v>55</v>
      </c>
      <c r="C312" s="17" t="s">
        <v>554</v>
      </c>
      <c r="D312" s="17" t="s">
        <v>353</v>
      </c>
      <c r="E312" s="17" t="s">
        <v>354</v>
      </c>
      <c r="F312" s="36">
        <v>23.59</v>
      </c>
      <c r="G312" s="17" t="s">
        <v>696</v>
      </c>
      <c r="H312" s="17" t="s">
        <v>554</v>
      </c>
      <c r="I312" s="17" t="s">
        <v>188</v>
      </c>
      <c r="J312" s="17" t="s">
        <v>189</v>
      </c>
      <c r="K312" s="17" t="s">
        <v>190</v>
      </c>
      <c r="L312" s="17" t="s">
        <v>45</v>
      </c>
      <c r="M312" s="17" t="s">
        <v>697</v>
      </c>
      <c r="N312" s="17" t="s">
        <v>64</v>
      </c>
    </row>
    <row r="313" ht="60.0" customHeight="1">
      <c r="A313" s="20" t="s">
        <v>115</v>
      </c>
      <c r="B313" s="20" t="s">
        <v>55</v>
      </c>
      <c r="C313" s="20" t="s">
        <v>554</v>
      </c>
      <c r="D313" s="20" t="s">
        <v>353</v>
      </c>
      <c r="E313" s="20" t="s">
        <v>354</v>
      </c>
      <c r="F313" s="37">
        <v>250.0</v>
      </c>
      <c r="G313" s="20" t="s">
        <v>1258</v>
      </c>
      <c r="H313" s="20" t="s">
        <v>554</v>
      </c>
      <c r="I313" s="20" t="s">
        <v>188</v>
      </c>
      <c r="J313" s="20" t="s">
        <v>189</v>
      </c>
      <c r="K313" s="20" t="s">
        <v>190</v>
      </c>
      <c r="L313" s="20" t="s">
        <v>45</v>
      </c>
      <c r="M313" s="20" t="s">
        <v>1259</v>
      </c>
      <c r="N313" s="20" t="s">
        <v>64</v>
      </c>
    </row>
    <row r="314" ht="60.0" customHeight="1">
      <c r="A314" s="17" t="s">
        <v>115</v>
      </c>
      <c r="B314" s="17" t="s">
        <v>55</v>
      </c>
      <c r="C314" s="17" t="s">
        <v>451</v>
      </c>
      <c r="D314" s="17" t="s">
        <v>149</v>
      </c>
      <c r="E314" s="17" t="s">
        <v>150</v>
      </c>
      <c r="F314" s="36">
        <v>13.99</v>
      </c>
      <c r="G314" s="17" t="s">
        <v>622</v>
      </c>
      <c r="H314" s="17" t="s">
        <v>451</v>
      </c>
      <c r="I314" s="17" t="s">
        <v>453</v>
      </c>
      <c r="J314" s="17" t="s">
        <v>454</v>
      </c>
      <c r="K314" s="17" t="s">
        <v>455</v>
      </c>
      <c r="L314" s="17" t="s">
        <v>45</v>
      </c>
      <c r="M314" s="17" t="s">
        <v>623</v>
      </c>
      <c r="N314" s="17" t="s">
        <v>64</v>
      </c>
    </row>
    <row r="315" ht="60.0" customHeight="1">
      <c r="A315" s="20" t="s">
        <v>115</v>
      </c>
      <c r="B315" s="20" t="s">
        <v>55</v>
      </c>
      <c r="C315" s="20" t="s">
        <v>451</v>
      </c>
      <c r="D315" s="20" t="s">
        <v>149</v>
      </c>
      <c r="E315" s="20" t="s">
        <v>150</v>
      </c>
      <c r="F315" s="37">
        <v>387.38</v>
      </c>
      <c r="G315" s="20" t="s">
        <v>1332</v>
      </c>
      <c r="H315" s="20" t="s">
        <v>451</v>
      </c>
      <c r="I315" s="20" t="s">
        <v>453</v>
      </c>
      <c r="J315" s="20" t="s">
        <v>454</v>
      </c>
      <c r="K315" s="20" t="s">
        <v>455</v>
      </c>
      <c r="L315" s="20" t="s">
        <v>45</v>
      </c>
      <c r="M315" s="20" t="s">
        <v>1333</v>
      </c>
      <c r="N315" s="20" t="s">
        <v>64</v>
      </c>
    </row>
    <row r="316" ht="60.0" customHeight="1">
      <c r="A316" s="17" t="s">
        <v>115</v>
      </c>
      <c r="B316" s="17" t="s">
        <v>55</v>
      </c>
      <c r="C316" s="17" t="s">
        <v>1106</v>
      </c>
      <c r="D316" s="17" t="s">
        <v>39</v>
      </c>
      <c r="E316" s="17" t="s">
        <v>40</v>
      </c>
      <c r="F316" s="36">
        <v>130.1</v>
      </c>
      <c r="G316" s="17" t="s">
        <v>1107</v>
      </c>
      <c r="H316" s="17" t="s">
        <v>1106</v>
      </c>
      <c r="I316" s="17" t="s">
        <v>1108</v>
      </c>
      <c r="J316" s="17" t="s">
        <v>633</v>
      </c>
      <c r="K316" s="17" t="s">
        <v>634</v>
      </c>
      <c r="L316" s="17" t="s">
        <v>45</v>
      </c>
      <c r="M316" s="17" t="s">
        <v>1109</v>
      </c>
      <c r="N316" s="17" t="s">
        <v>182</v>
      </c>
    </row>
    <row r="317" ht="60.0" customHeight="1">
      <c r="A317" s="20" t="s">
        <v>115</v>
      </c>
      <c r="B317" s="20" t="s">
        <v>55</v>
      </c>
      <c r="C317" s="20" t="s">
        <v>841</v>
      </c>
      <c r="D317" s="20" t="s">
        <v>39</v>
      </c>
      <c r="E317" s="20" t="s">
        <v>40</v>
      </c>
      <c r="F317" s="37">
        <v>45.25</v>
      </c>
      <c r="G317" s="20" t="s">
        <v>842</v>
      </c>
      <c r="H317" s="20" t="s">
        <v>841</v>
      </c>
      <c r="I317" s="20" t="s">
        <v>199</v>
      </c>
      <c r="J317" s="20" t="s">
        <v>200</v>
      </c>
      <c r="K317" s="20" t="s">
        <v>201</v>
      </c>
      <c r="L317" s="20" t="s">
        <v>45</v>
      </c>
      <c r="M317" s="20" t="s">
        <v>843</v>
      </c>
      <c r="N317" s="20" t="s">
        <v>64</v>
      </c>
    </row>
    <row r="318" ht="60.0" customHeight="1">
      <c r="A318" s="17" t="s">
        <v>115</v>
      </c>
      <c r="B318" s="17" t="s">
        <v>55</v>
      </c>
      <c r="C318" s="17" t="s">
        <v>841</v>
      </c>
      <c r="D318" s="17" t="s">
        <v>39</v>
      </c>
      <c r="E318" s="17" t="s">
        <v>40</v>
      </c>
      <c r="F318" s="36">
        <v>48.75</v>
      </c>
      <c r="G318" s="17" t="s">
        <v>865</v>
      </c>
      <c r="H318" s="17" t="s">
        <v>841</v>
      </c>
      <c r="I318" s="17" t="s">
        <v>199</v>
      </c>
      <c r="J318" s="17" t="s">
        <v>200</v>
      </c>
      <c r="K318" s="17" t="s">
        <v>201</v>
      </c>
      <c r="L318" s="17" t="s">
        <v>45</v>
      </c>
      <c r="M318" s="17" t="s">
        <v>866</v>
      </c>
      <c r="N318" s="17" t="s">
        <v>64</v>
      </c>
    </row>
    <row r="319" ht="60.0" customHeight="1">
      <c r="A319" s="20" t="s">
        <v>115</v>
      </c>
      <c r="B319" s="20" t="s">
        <v>55</v>
      </c>
      <c r="C319" s="20" t="s">
        <v>841</v>
      </c>
      <c r="D319" s="20" t="s">
        <v>39</v>
      </c>
      <c r="E319" s="20" t="s">
        <v>40</v>
      </c>
      <c r="F319" s="37">
        <v>53.5</v>
      </c>
      <c r="G319" s="20" t="s">
        <v>896</v>
      </c>
      <c r="H319" s="20" t="s">
        <v>841</v>
      </c>
      <c r="I319" s="20" t="s">
        <v>199</v>
      </c>
      <c r="J319" s="20" t="s">
        <v>200</v>
      </c>
      <c r="K319" s="20" t="s">
        <v>201</v>
      </c>
      <c r="L319" s="20" t="s">
        <v>45</v>
      </c>
      <c r="M319" s="20" t="s">
        <v>897</v>
      </c>
      <c r="N319" s="20" t="s">
        <v>64</v>
      </c>
    </row>
    <row r="320" ht="60.0" customHeight="1">
      <c r="A320" s="17" t="s">
        <v>115</v>
      </c>
      <c r="B320" s="17" t="s">
        <v>55</v>
      </c>
      <c r="C320" s="17" t="s">
        <v>841</v>
      </c>
      <c r="D320" s="17" t="s">
        <v>39</v>
      </c>
      <c r="E320" s="17" t="s">
        <v>40</v>
      </c>
      <c r="F320" s="36">
        <v>314.01</v>
      </c>
      <c r="G320" s="17" t="s">
        <v>1308</v>
      </c>
      <c r="H320" s="17" t="s">
        <v>841</v>
      </c>
      <c r="I320" s="17" t="s">
        <v>199</v>
      </c>
      <c r="J320" s="17" t="s">
        <v>200</v>
      </c>
      <c r="K320" s="17" t="s">
        <v>201</v>
      </c>
      <c r="L320" s="17" t="s">
        <v>45</v>
      </c>
      <c r="M320" s="17" t="s">
        <v>1309</v>
      </c>
      <c r="N320" s="17" t="s">
        <v>64</v>
      </c>
    </row>
    <row r="321" ht="60.0" customHeight="1">
      <c r="A321" s="20" t="s">
        <v>115</v>
      </c>
      <c r="B321" s="20" t="s">
        <v>55</v>
      </c>
      <c r="C321" s="20" t="s">
        <v>1140</v>
      </c>
      <c r="D321" s="20" t="s">
        <v>57</v>
      </c>
      <c r="E321" s="20" t="s">
        <v>58</v>
      </c>
      <c r="F321" s="37">
        <v>151.68</v>
      </c>
      <c r="G321" s="20" t="s">
        <v>1145</v>
      </c>
      <c r="H321" s="20" t="s">
        <v>1140</v>
      </c>
      <c r="I321" s="20" t="s">
        <v>1142</v>
      </c>
      <c r="J321" s="20" t="s">
        <v>119</v>
      </c>
      <c r="K321" s="20" t="s">
        <v>231</v>
      </c>
      <c r="L321" s="20" t="s">
        <v>45</v>
      </c>
      <c r="M321" s="20" t="s">
        <v>1146</v>
      </c>
      <c r="N321" s="20" t="s">
        <v>1144</v>
      </c>
    </row>
    <row r="322" ht="60.0" customHeight="1">
      <c r="A322" s="17" t="s">
        <v>115</v>
      </c>
      <c r="B322" s="17" t="s">
        <v>55</v>
      </c>
      <c r="C322" s="17" t="s">
        <v>766</v>
      </c>
      <c r="D322" s="17" t="s">
        <v>127</v>
      </c>
      <c r="E322" s="17" t="s">
        <v>128</v>
      </c>
      <c r="F322" s="36">
        <v>63.21</v>
      </c>
      <c r="G322" s="17" t="s">
        <v>922</v>
      </c>
      <c r="H322" s="17" t="s">
        <v>766</v>
      </c>
      <c r="I322" s="17" t="s">
        <v>768</v>
      </c>
      <c r="J322" s="17" t="s">
        <v>142</v>
      </c>
      <c r="K322" s="17" t="s">
        <v>166</v>
      </c>
      <c r="L322" s="17" t="s">
        <v>45</v>
      </c>
      <c r="M322" s="17" t="s">
        <v>923</v>
      </c>
      <c r="N322" s="17" t="s">
        <v>74</v>
      </c>
    </row>
    <row r="323" ht="60.0" customHeight="1">
      <c r="A323" s="20" t="s">
        <v>290</v>
      </c>
      <c r="B323" s="20" t="s">
        <v>55</v>
      </c>
      <c r="C323" s="20" t="s">
        <v>785</v>
      </c>
      <c r="D323" s="20" t="s">
        <v>39</v>
      </c>
      <c r="E323" s="20" t="s">
        <v>40</v>
      </c>
      <c r="F323" s="37">
        <v>293.31</v>
      </c>
      <c r="G323" s="20" t="s">
        <v>1300</v>
      </c>
      <c r="H323" s="20" t="s">
        <v>785</v>
      </c>
      <c r="I323" s="20" t="s">
        <v>787</v>
      </c>
      <c r="J323" s="20" t="s">
        <v>326</v>
      </c>
      <c r="K323" s="20" t="s">
        <v>563</v>
      </c>
      <c r="L323" s="20" t="s">
        <v>45</v>
      </c>
      <c r="M323" s="20" t="s">
        <v>1301</v>
      </c>
      <c r="N323" s="20" t="s">
        <v>174</v>
      </c>
    </row>
    <row r="324" ht="60.0" customHeight="1">
      <c r="A324" s="17" t="s">
        <v>290</v>
      </c>
      <c r="B324" s="17" t="s">
        <v>55</v>
      </c>
      <c r="C324" s="17" t="s">
        <v>1290</v>
      </c>
      <c r="D324" s="17" t="s">
        <v>39</v>
      </c>
      <c r="E324" s="17" t="s">
        <v>40</v>
      </c>
      <c r="F324" s="36">
        <v>275.0</v>
      </c>
      <c r="G324" s="17" t="s">
        <v>1291</v>
      </c>
      <c r="H324" s="17" t="s">
        <v>1290</v>
      </c>
      <c r="I324" s="17" t="s">
        <v>756</v>
      </c>
      <c r="J324" s="17" t="s">
        <v>43</v>
      </c>
      <c r="K324" s="17" t="s">
        <v>1292</v>
      </c>
      <c r="L324" s="17" t="s">
        <v>1293</v>
      </c>
      <c r="M324" s="17" t="s">
        <v>1294</v>
      </c>
      <c r="N324" s="17" t="s">
        <v>1295</v>
      </c>
    </row>
    <row r="325" ht="60.0" customHeight="1">
      <c r="A325" s="20" t="s">
        <v>290</v>
      </c>
      <c r="B325" s="20" t="s">
        <v>55</v>
      </c>
      <c r="C325" s="20" t="s">
        <v>56</v>
      </c>
      <c r="D325" s="20" t="s">
        <v>93</v>
      </c>
      <c r="E325" s="20" t="s">
        <v>94</v>
      </c>
      <c r="F325" s="37">
        <v>2.21</v>
      </c>
      <c r="G325" s="20" t="s">
        <v>507</v>
      </c>
      <c r="H325" s="20" t="s">
        <v>56</v>
      </c>
      <c r="I325" s="20" t="s">
        <v>60</v>
      </c>
      <c r="J325" s="20" t="s">
        <v>61</v>
      </c>
      <c r="K325" s="20" t="s">
        <v>62</v>
      </c>
      <c r="L325" s="20" t="s">
        <v>45</v>
      </c>
      <c r="M325" s="20" t="s">
        <v>508</v>
      </c>
      <c r="N325" s="20" t="s">
        <v>64</v>
      </c>
    </row>
    <row r="326" ht="60.0" customHeight="1">
      <c r="A326" s="17" t="s">
        <v>290</v>
      </c>
      <c r="B326" s="17" t="s">
        <v>55</v>
      </c>
      <c r="C326" s="17" t="s">
        <v>56</v>
      </c>
      <c r="D326" s="17" t="s">
        <v>93</v>
      </c>
      <c r="E326" s="17" t="s">
        <v>94</v>
      </c>
      <c r="F326" s="36">
        <v>125.0</v>
      </c>
      <c r="G326" s="17" t="s">
        <v>1095</v>
      </c>
      <c r="H326" s="17" t="s">
        <v>56</v>
      </c>
      <c r="I326" s="17" t="s">
        <v>60</v>
      </c>
      <c r="J326" s="17" t="s">
        <v>61</v>
      </c>
      <c r="K326" s="17" t="s">
        <v>62</v>
      </c>
      <c r="L326" s="17" t="s">
        <v>45</v>
      </c>
      <c r="M326" s="17" t="s">
        <v>1096</v>
      </c>
      <c r="N326" s="17" t="s">
        <v>64</v>
      </c>
    </row>
    <row r="327" ht="60.0" customHeight="1">
      <c r="A327" s="20" t="s">
        <v>290</v>
      </c>
      <c r="B327" s="20" t="s">
        <v>55</v>
      </c>
      <c r="C327" s="20" t="s">
        <v>560</v>
      </c>
      <c r="D327" s="20" t="s">
        <v>39</v>
      </c>
      <c r="E327" s="20" t="s">
        <v>40</v>
      </c>
      <c r="F327" s="37">
        <v>32.28</v>
      </c>
      <c r="G327" s="20" t="s">
        <v>770</v>
      </c>
      <c r="H327" s="20" t="s">
        <v>560</v>
      </c>
      <c r="I327" s="20" t="s">
        <v>562</v>
      </c>
      <c r="J327" s="20" t="s">
        <v>326</v>
      </c>
      <c r="K327" s="20" t="s">
        <v>563</v>
      </c>
      <c r="L327" s="20" t="s">
        <v>45</v>
      </c>
      <c r="M327" s="20" t="s">
        <v>771</v>
      </c>
      <c r="N327" s="20" t="s">
        <v>64</v>
      </c>
    </row>
    <row r="328" ht="60.0" customHeight="1">
      <c r="A328" s="17" t="s">
        <v>290</v>
      </c>
      <c r="B328" s="17" t="s">
        <v>55</v>
      </c>
      <c r="C328" s="17" t="s">
        <v>560</v>
      </c>
      <c r="D328" s="17" t="s">
        <v>39</v>
      </c>
      <c r="E328" s="17" t="s">
        <v>40</v>
      </c>
      <c r="F328" s="36">
        <v>52.0</v>
      </c>
      <c r="G328" s="17" t="s">
        <v>882</v>
      </c>
      <c r="H328" s="17" t="s">
        <v>560</v>
      </c>
      <c r="I328" s="17" t="s">
        <v>562</v>
      </c>
      <c r="J328" s="17" t="s">
        <v>326</v>
      </c>
      <c r="K328" s="17" t="s">
        <v>563</v>
      </c>
      <c r="L328" s="17" t="s">
        <v>45</v>
      </c>
      <c r="M328" s="17" t="s">
        <v>883</v>
      </c>
      <c r="N328" s="17" t="s">
        <v>64</v>
      </c>
    </row>
    <row r="329" ht="60.0" customHeight="1">
      <c r="A329" s="20" t="s">
        <v>290</v>
      </c>
      <c r="B329" s="20" t="s">
        <v>55</v>
      </c>
      <c r="C329" s="20" t="s">
        <v>560</v>
      </c>
      <c r="D329" s="20" t="s">
        <v>39</v>
      </c>
      <c r="E329" s="20" t="s">
        <v>40</v>
      </c>
      <c r="F329" s="37">
        <v>71.13</v>
      </c>
      <c r="G329" s="20" t="s">
        <v>968</v>
      </c>
      <c r="H329" s="20" t="s">
        <v>560</v>
      </c>
      <c r="I329" s="20" t="s">
        <v>562</v>
      </c>
      <c r="J329" s="20" t="s">
        <v>326</v>
      </c>
      <c r="K329" s="20" t="s">
        <v>563</v>
      </c>
      <c r="L329" s="20" t="s">
        <v>45</v>
      </c>
      <c r="M329" s="20" t="s">
        <v>969</v>
      </c>
      <c r="N329" s="20" t="s">
        <v>64</v>
      </c>
    </row>
    <row r="330" ht="60.0" customHeight="1">
      <c r="A330" s="17" t="s">
        <v>290</v>
      </c>
      <c r="B330" s="17" t="s">
        <v>55</v>
      </c>
      <c r="C330" s="17" t="s">
        <v>859</v>
      </c>
      <c r="D330" s="17" t="s">
        <v>39</v>
      </c>
      <c r="E330" s="17" t="s">
        <v>40</v>
      </c>
      <c r="F330" s="36">
        <v>49.09</v>
      </c>
      <c r="G330" s="17" t="s">
        <v>869</v>
      </c>
      <c r="H330" s="17" t="s">
        <v>859</v>
      </c>
      <c r="I330" s="17" t="s">
        <v>861</v>
      </c>
      <c r="J330" s="17" t="s">
        <v>862</v>
      </c>
      <c r="K330" s="17" t="s">
        <v>863</v>
      </c>
      <c r="L330" s="17" t="s">
        <v>45</v>
      </c>
      <c r="M330" s="17" t="s">
        <v>870</v>
      </c>
      <c r="N330" s="17" t="s">
        <v>64</v>
      </c>
    </row>
    <row r="331" ht="60.0" customHeight="1">
      <c r="A331" s="20" t="s">
        <v>290</v>
      </c>
      <c r="B331" s="20" t="s">
        <v>55</v>
      </c>
      <c r="C331" s="20" t="s">
        <v>291</v>
      </c>
      <c r="D331" s="20" t="s">
        <v>93</v>
      </c>
      <c r="E331" s="20" t="s">
        <v>94</v>
      </c>
      <c r="F331" s="37">
        <v>99.9</v>
      </c>
      <c r="G331" s="20" t="s">
        <v>292</v>
      </c>
      <c r="H331" s="20" t="s">
        <v>291</v>
      </c>
      <c r="I331" s="20" t="s">
        <v>293</v>
      </c>
      <c r="J331" s="20" t="s">
        <v>142</v>
      </c>
      <c r="K331" s="20" t="s">
        <v>143</v>
      </c>
      <c r="L331" s="20" t="s">
        <v>45</v>
      </c>
      <c r="M331" s="20" t="s">
        <v>294</v>
      </c>
      <c r="N331" s="20" t="s">
        <v>122</v>
      </c>
    </row>
    <row r="332" ht="60.0" customHeight="1">
      <c r="A332" s="17" t="s">
        <v>290</v>
      </c>
      <c r="B332" s="17" t="s">
        <v>55</v>
      </c>
      <c r="C332" s="17" t="s">
        <v>92</v>
      </c>
      <c r="D332" s="17" t="s">
        <v>93</v>
      </c>
      <c r="E332" s="17" t="s">
        <v>94</v>
      </c>
      <c r="F332" s="36">
        <v>118.07</v>
      </c>
      <c r="G332" s="17" t="s">
        <v>1088</v>
      </c>
      <c r="H332" s="17" t="s">
        <v>92</v>
      </c>
      <c r="I332" s="17" t="s">
        <v>208</v>
      </c>
      <c r="J332" s="17" t="s">
        <v>97</v>
      </c>
      <c r="K332" s="17" t="s">
        <v>98</v>
      </c>
      <c r="L332" s="17" t="s">
        <v>45</v>
      </c>
      <c r="M332" s="17" t="s">
        <v>1089</v>
      </c>
      <c r="N332" s="17" t="s">
        <v>64</v>
      </c>
    </row>
    <row r="333" ht="60.0" customHeight="1">
      <c r="A333" s="20" t="s">
        <v>290</v>
      </c>
      <c r="B333" s="20" t="s">
        <v>55</v>
      </c>
      <c r="C333" s="20" t="s">
        <v>92</v>
      </c>
      <c r="D333" s="20" t="s">
        <v>138</v>
      </c>
      <c r="E333" s="20" t="s">
        <v>139</v>
      </c>
      <c r="F333" s="37">
        <v>173.42</v>
      </c>
      <c r="G333" s="20" t="s">
        <v>1185</v>
      </c>
      <c r="H333" s="20" t="s">
        <v>92</v>
      </c>
      <c r="I333" s="20" t="s">
        <v>208</v>
      </c>
      <c r="J333" s="20" t="s">
        <v>97</v>
      </c>
      <c r="K333" s="20" t="s">
        <v>98</v>
      </c>
      <c r="L333" s="20" t="s">
        <v>45</v>
      </c>
      <c r="M333" s="20" t="s">
        <v>1186</v>
      </c>
      <c r="N333" s="20" t="s">
        <v>64</v>
      </c>
    </row>
    <row r="334" ht="60.0" customHeight="1">
      <c r="A334" s="17" t="s">
        <v>290</v>
      </c>
      <c r="B334" s="17" t="s">
        <v>55</v>
      </c>
      <c r="C334" s="17" t="s">
        <v>445</v>
      </c>
      <c r="D334" s="17" t="s">
        <v>127</v>
      </c>
      <c r="E334" s="17" t="s">
        <v>128</v>
      </c>
      <c r="F334" s="36">
        <v>237.85</v>
      </c>
      <c r="G334" s="17" t="s">
        <v>1252</v>
      </c>
      <c r="H334" s="17" t="s">
        <v>445</v>
      </c>
      <c r="I334" s="17" t="s">
        <v>447</v>
      </c>
      <c r="J334" s="17" t="s">
        <v>142</v>
      </c>
      <c r="K334" s="17" t="s">
        <v>143</v>
      </c>
      <c r="L334" s="17" t="s">
        <v>45</v>
      </c>
      <c r="M334" s="17" t="s">
        <v>1253</v>
      </c>
      <c r="N334" s="17" t="s">
        <v>182</v>
      </c>
    </row>
    <row r="335" ht="60.0" customHeight="1">
      <c r="A335" s="20" t="s">
        <v>290</v>
      </c>
      <c r="B335" s="20" t="s">
        <v>55</v>
      </c>
      <c r="C335" s="20" t="s">
        <v>445</v>
      </c>
      <c r="D335" s="20" t="s">
        <v>127</v>
      </c>
      <c r="E335" s="20" t="s">
        <v>128</v>
      </c>
      <c r="F335" s="37">
        <v>501.14</v>
      </c>
      <c r="G335" s="20" t="s">
        <v>1252</v>
      </c>
      <c r="H335" s="20" t="s">
        <v>445</v>
      </c>
      <c r="I335" s="20" t="s">
        <v>447</v>
      </c>
      <c r="J335" s="20" t="s">
        <v>142</v>
      </c>
      <c r="K335" s="20" t="s">
        <v>143</v>
      </c>
      <c r="L335" s="20" t="s">
        <v>45</v>
      </c>
      <c r="M335" s="20" t="s">
        <v>1352</v>
      </c>
      <c r="N335" s="20" t="s">
        <v>182</v>
      </c>
    </row>
    <row r="336" ht="60.0" customHeight="1">
      <c r="A336" s="17" t="s">
        <v>290</v>
      </c>
      <c r="B336" s="17" t="s">
        <v>55</v>
      </c>
      <c r="C336" s="17" t="s">
        <v>820</v>
      </c>
      <c r="D336" s="17" t="s">
        <v>39</v>
      </c>
      <c r="E336" s="17" t="s">
        <v>40</v>
      </c>
      <c r="F336" s="36">
        <v>364.05</v>
      </c>
      <c r="G336" s="17" t="s">
        <v>1330</v>
      </c>
      <c r="H336" s="17" t="s">
        <v>820</v>
      </c>
      <c r="I336" s="17" t="s">
        <v>822</v>
      </c>
      <c r="J336" s="17" t="s">
        <v>43</v>
      </c>
      <c r="K336" s="17" t="s">
        <v>823</v>
      </c>
      <c r="L336" s="17" t="s">
        <v>45</v>
      </c>
      <c r="M336" s="17" t="s">
        <v>1331</v>
      </c>
      <c r="N336" s="17" t="s">
        <v>182</v>
      </c>
    </row>
    <row r="337" ht="60.0" customHeight="1">
      <c r="A337" s="20" t="s">
        <v>290</v>
      </c>
      <c r="B337" s="20" t="s">
        <v>55</v>
      </c>
      <c r="C337" s="20" t="s">
        <v>430</v>
      </c>
      <c r="D337" s="20" t="s">
        <v>39</v>
      </c>
      <c r="E337" s="20" t="s">
        <v>40</v>
      </c>
      <c r="F337" s="37">
        <v>26.0</v>
      </c>
      <c r="G337" s="20" t="s">
        <v>715</v>
      </c>
      <c r="H337" s="20" t="s">
        <v>430</v>
      </c>
      <c r="I337" s="20" t="s">
        <v>432</v>
      </c>
      <c r="J337" s="20" t="s">
        <v>433</v>
      </c>
      <c r="K337" s="20" t="s">
        <v>434</v>
      </c>
      <c r="L337" s="20" t="s">
        <v>45</v>
      </c>
      <c r="M337" s="20" t="s">
        <v>716</v>
      </c>
      <c r="N337" s="20" t="s">
        <v>74</v>
      </c>
    </row>
    <row r="338" ht="60.0" customHeight="1">
      <c r="A338" s="17" t="s">
        <v>290</v>
      </c>
      <c r="B338" s="17" t="s">
        <v>55</v>
      </c>
      <c r="C338" s="17" t="s">
        <v>295</v>
      </c>
      <c r="D338" s="17" t="s">
        <v>93</v>
      </c>
      <c r="E338" s="17" t="s">
        <v>94</v>
      </c>
      <c r="F338" s="36">
        <v>100.0</v>
      </c>
      <c r="G338" s="17" t="s">
        <v>296</v>
      </c>
      <c r="H338" s="17" t="s">
        <v>295</v>
      </c>
      <c r="I338" s="17" t="s">
        <v>297</v>
      </c>
      <c r="J338" s="17" t="s">
        <v>119</v>
      </c>
      <c r="K338" s="17" t="s">
        <v>298</v>
      </c>
      <c r="L338" s="17" t="s">
        <v>45</v>
      </c>
      <c r="M338" s="17" t="s">
        <v>299</v>
      </c>
      <c r="N338" s="17" t="s">
        <v>300</v>
      </c>
    </row>
    <row r="339" ht="60.0" customHeight="1">
      <c r="A339" s="20" t="s">
        <v>290</v>
      </c>
      <c r="B339" s="20" t="s">
        <v>55</v>
      </c>
      <c r="C339" s="20" t="s">
        <v>509</v>
      </c>
      <c r="D339" s="20" t="s">
        <v>149</v>
      </c>
      <c r="E339" s="20" t="s">
        <v>150</v>
      </c>
      <c r="F339" s="37">
        <v>11.27</v>
      </c>
      <c r="G339" s="20" t="s">
        <v>571</v>
      </c>
      <c r="H339" s="20" t="s">
        <v>509</v>
      </c>
      <c r="I339" s="20" t="s">
        <v>511</v>
      </c>
      <c r="J339" s="20" t="s">
        <v>512</v>
      </c>
      <c r="K339" s="20" t="s">
        <v>513</v>
      </c>
      <c r="L339" s="20" t="s">
        <v>45</v>
      </c>
      <c r="M339" s="20" t="s">
        <v>572</v>
      </c>
      <c r="N339" s="20" t="s">
        <v>64</v>
      </c>
    </row>
    <row r="340" ht="60.0" customHeight="1">
      <c r="A340" s="17" t="s">
        <v>290</v>
      </c>
      <c r="B340" s="17" t="s">
        <v>55</v>
      </c>
      <c r="C340" s="17" t="s">
        <v>509</v>
      </c>
      <c r="D340" s="17" t="s">
        <v>149</v>
      </c>
      <c r="E340" s="17" t="s">
        <v>150</v>
      </c>
      <c r="F340" s="36">
        <v>176.62</v>
      </c>
      <c r="G340" s="17" t="s">
        <v>1209</v>
      </c>
      <c r="H340" s="17" t="s">
        <v>509</v>
      </c>
      <c r="I340" s="17" t="s">
        <v>511</v>
      </c>
      <c r="J340" s="17" t="s">
        <v>512</v>
      </c>
      <c r="K340" s="17" t="s">
        <v>513</v>
      </c>
      <c r="L340" s="17" t="s">
        <v>45</v>
      </c>
      <c r="M340" s="17" t="s">
        <v>1210</v>
      </c>
      <c r="N340" s="17" t="s">
        <v>64</v>
      </c>
    </row>
    <row r="341" ht="60.0" customHeight="1">
      <c r="A341" s="20" t="s">
        <v>290</v>
      </c>
      <c r="B341" s="20" t="s">
        <v>55</v>
      </c>
      <c r="C341" s="20" t="s">
        <v>302</v>
      </c>
      <c r="D341" s="20" t="s">
        <v>149</v>
      </c>
      <c r="E341" s="20" t="s">
        <v>150</v>
      </c>
      <c r="F341" s="37">
        <v>79.01</v>
      </c>
      <c r="G341" s="20" t="s">
        <v>987</v>
      </c>
      <c r="H341" s="20" t="s">
        <v>302</v>
      </c>
      <c r="I341" s="20" t="s">
        <v>304</v>
      </c>
      <c r="J341" s="20" t="s">
        <v>305</v>
      </c>
      <c r="K341" s="20" t="s">
        <v>306</v>
      </c>
      <c r="L341" s="20" t="s">
        <v>45</v>
      </c>
      <c r="M341" s="20" t="s">
        <v>988</v>
      </c>
      <c r="N341" s="20" t="s">
        <v>308</v>
      </c>
    </row>
    <row r="342" ht="60.0" customHeight="1">
      <c r="A342" s="17" t="s">
        <v>290</v>
      </c>
      <c r="B342" s="17" t="s">
        <v>55</v>
      </c>
      <c r="C342" s="17" t="s">
        <v>541</v>
      </c>
      <c r="D342" s="17" t="s">
        <v>149</v>
      </c>
      <c r="E342" s="17" t="s">
        <v>150</v>
      </c>
      <c r="F342" s="36">
        <v>10.03</v>
      </c>
      <c r="G342" s="17" t="s">
        <v>542</v>
      </c>
      <c r="H342" s="17" t="s">
        <v>541</v>
      </c>
      <c r="I342" s="17" t="s">
        <v>537</v>
      </c>
      <c r="J342" s="17" t="s">
        <v>538</v>
      </c>
      <c r="K342" s="17" t="s">
        <v>539</v>
      </c>
      <c r="L342" s="17" t="s">
        <v>45</v>
      </c>
      <c r="M342" s="17" t="s">
        <v>543</v>
      </c>
      <c r="N342" s="17" t="s">
        <v>74</v>
      </c>
    </row>
    <row r="343" ht="60.0" customHeight="1">
      <c r="A343" s="20" t="s">
        <v>290</v>
      </c>
      <c r="B343" s="20" t="s">
        <v>55</v>
      </c>
      <c r="C343" s="20" t="s">
        <v>515</v>
      </c>
      <c r="D343" s="20" t="s">
        <v>127</v>
      </c>
      <c r="E343" s="20" t="s">
        <v>128</v>
      </c>
      <c r="F343" s="37">
        <v>5.05</v>
      </c>
      <c r="G343" s="20" t="s">
        <v>519</v>
      </c>
      <c r="H343" s="20" t="s">
        <v>515</v>
      </c>
      <c r="I343" s="20" t="s">
        <v>517</v>
      </c>
      <c r="J343" s="20" t="s">
        <v>142</v>
      </c>
      <c r="K343" s="20" t="s">
        <v>143</v>
      </c>
      <c r="L343" s="20" t="s">
        <v>45</v>
      </c>
      <c r="M343" s="20" t="s">
        <v>520</v>
      </c>
      <c r="N343" s="20" t="s">
        <v>64</v>
      </c>
    </row>
    <row r="344" ht="60.0" customHeight="1">
      <c r="A344" s="17" t="s">
        <v>290</v>
      </c>
      <c r="B344" s="17" t="s">
        <v>55</v>
      </c>
      <c r="C344" s="17" t="s">
        <v>829</v>
      </c>
      <c r="D344" s="17" t="s">
        <v>93</v>
      </c>
      <c r="E344" s="17" t="s">
        <v>94</v>
      </c>
      <c r="F344" s="36">
        <v>41.82</v>
      </c>
      <c r="G344" s="17" t="s">
        <v>830</v>
      </c>
      <c r="H344" s="17" t="s">
        <v>829</v>
      </c>
      <c r="I344" s="17" t="s">
        <v>831</v>
      </c>
      <c r="J344" s="17" t="s">
        <v>142</v>
      </c>
      <c r="K344" s="17" t="s">
        <v>143</v>
      </c>
      <c r="L344" s="17" t="s">
        <v>45</v>
      </c>
      <c r="M344" s="17" t="s">
        <v>832</v>
      </c>
      <c r="N344" s="17" t="s">
        <v>122</v>
      </c>
    </row>
    <row r="345" ht="60.0" customHeight="1">
      <c r="A345" s="20" t="s">
        <v>290</v>
      </c>
      <c r="B345" s="20" t="s">
        <v>55</v>
      </c>
      <c r="C345" s="20" t="s">
        <v>766</v>
      </c>
      <c r="D345" s="20" t="s">
        <v>127</v>
      </c>
      <c r="E345" s="20" t="s">
        <v>128</v>
      </c>
      <c r="F345" s="37">
        <v>49.23</v>
      </c>
      <c r="G345" s="20" t="s">
        <v>871</v>
      </c>
      <c r="H345" s="20" t="s">
        <v>766</v>
      </c>
      <c r="I345" s="20" t="s">
        <v>768</v>
      </c>
      <c r="J345" s="20" t="s">
        <v>142</v>
      </c>
      <c r="K345" s="20" t="s">
        <v>166</v>
      </c>
      <c r="L345" s="20" t="s">
        <v>45</v>
      </c>
      <c r="M345" s="20" t="s">
        <v>872</v>
      </c>
      <c r="N345" s="20" t="s">
        <v>74</v>
      </c>
    </row>
    <row r="346" ht="60.0" customHeight="1">
      <c r="A346" s="17" t="s">
        <v>290</v>
      </c>
      <c r="B346" s="17" t="s">
        <v>55</v>
      </c>
      <c r="C346" s="17" t="s">
        <v>766</v>
      </c>
      <c r="D346" s="17" t="s">
        <v>138</v>
      </c>
      <c r="E346" s="17" t="s">
        <v>139</v>
      </c>
      <c r="F346" s="36">
        <v>161.25</v>
      </c>
      <c r="G346" s="17" t="s">
        <v>1159</v>
      </c>
      <c r="H346" s="17" t="s">
        <v>766</v>
      </c>
      <c r="I346" s="17" t="s">
        <v>768</v>
      </c>
      <c r="J346" s="17" t="s">
        <v>142</v>
      </c>
      <c r="K346" s="17" t="s">
        <v>166</v>
      </c>
      <c r="L346" s="17" t="s">
        <v>45</v>
      </c>
      <c r="M346" s="17" t="s">
        <v>1160</v>
      </c>
      <c r="N346" s="17" t="s">
        <v>74</v>
      </c>
    </row>
    <row r="347" ht="60.0" customHeight="1">
      <c r="A347" s="20" t="s">
        <v>65</v>
      </c>
      <c r="B347" s="20" t="s">
        <v>55</v>
      </c>
      <c r="C347" s="20" t="s">
        <v>137</v>
      </c>
      <c r="D347" s="20" t="s">
        <v>93</v>
      </c>
      <c r="E347" s="20" t="s">
        <v>94</v>
      </c>
      <c r="F347" s="37">
        <v>32.77</v>
      </c>
      <c r="G347" s="20" t="s">
        <v>777</v>
      </c>
      <c r="H347" s="20" t="s">
        <v>137</v>
      </c>
      <c r="I347" s="20" t="s">
        <v>141</v>
      </c>
      <c r="J347" s="20" t="s">
        <v>142</v>
      </c>
      <c r="K347" s="20" t="s">
        <v>143</v>
      </c>
      <c r="L347" s="20" t="s">
        <v>45</v>
      </c>
      <c r="M347" s="20" t="s">
        <v>778</v>
      </c>
      <c r="N347" s="20" t="s">
        <v>74</v>
      </c>
    </row>
    <row r="348" ht="60.0" customHeight="1">
      <c r="A348" s="17" t="s">
        <v>65</v>
      </c>
      <c r="B348" s="17" t="s">
        <v>55</v>
      </c>
      <c r="C348" s="17" t="s">
        <v>157</v>
      </c>
      <c r="D348" s="17" t="s">
        <v>93</v>
      </c>
      <c r="E348" s="17" t="s">
        <v>94</v>
      </c>
      <c r="F348" s="36">
        <v>122.05</v>
      </c>
      <c r="G348" s="17" t="s">
        <v>340</v>
      </c>
      <c r="H348" s="17" t="s">
        <v>159</v>
      </c>
      <c r="I348" s="17" t="s">
        <v>86</v>
      </c>
      <c r="J348" s="17" t="s">
        <v>87</v>
      </c>
      <c r="K348" s="17" t="s">
        <v>88</v>
      </c>
      <c r="L348" s="17" t="s">
        <v>45</v>
      </c>
      <c r="M348" s="17" t="s">
        <v>341</v>
      </c>
      <c r="N348" s="17" t="s">
        <v>90</v>
      </c>
    </row>
    <row r="349" ht="60.0" customHeight="1">
      <c r="A349" s="20" t="s">
        <v>65</v>
      </c>
      <c r="B349" s="20" t="s">
        <v>55</v>
      </c>
      <c r="C349" s="20" t="s">
        <v>1338</v>
      </c>
      <c r="D349" s="20" t="s">
        <v>39</v>
      </c>
      <c r="E349" s="20" t="s">
        <v>40</v>
      </c>
      <c r="F349" s="37">
        <v>472.56</v>
      </c>
      <c r="G349" s="20" t="s">
        <v>1350</v>
      </c>
      <c r="H349" s="20" t="s">
        <v>1338</v>
      </c>
      <c r="I349" s="20" t="s">
        <v>1340</v>
      </c>
      <c r="J349" s="20" t="s">
        <v>371</v>
      </c>
      <c r="K349" s="20" t="s">
        <v>1341</v>
      </c>
      <c r="L349" s="20" t="s">
        <v>45</v>
      </c>
      <c r="M349" s="20" t="s">
        <v>1351</v>
      </c>
      <c r="N349" s="20" t="s">
        <v>308</v>
      </c>
    </row>
    <row r="350" ht="60.0" customHeight="1">
      <c r="A350" s="17" t="s">
        <v>65</v>
      </c>
      <c r="B350" s="17" t="s">
        <v>55</v>
      </c>
      <c r="C350" s="17" t="s">
        <v>785</v>
      </c>
      <c r="D350" s="17" t="s">
        <v>39</v>
      </c>
      <c r="E350" s="17" t="s">
        <v>40</v>
      </c>
      <c r="F350" s="36">
        <v>34.54</v>
      </c>
      <c r="G350" s="17" t="s">
        <v>786</v>
      </c>
      <c r="H350" s="17" t="s">
        <v>785</v>
      </c>
      <c r="I350" s="17" t="s">
        <v>787</v>
      </c>
      <c r="J350" s="17" t="s">
        <v>326</v>
      </c>
      <c r="K350" s="17" t="s">
        <v>563</v>
      </c>
      <c r="L350" s="17" t="s">
        <v>45</v>
      </c>
      <c r="M350" s="17" t="s">
        <v>788</v>
      </c>
      <c r="N350" s="17" t="s">
        <v>174</v>
      </c>
    </row>
    <row r="351" ht="60.0" customHeight="1">
      <c r="A351" s="20" t="s">
        <v>65</v>
      </c>
      <c r="B351" s="20" t="s">
        <v>55</v>
      </c>
      <c r="C351" s="20" t="s">
        <v>785</v>
      </c>
      <c r="D351" s="20" t="s">
        <v>39</v>
      </c>
      <c r="E351" s="20" t="s">
        <v>40</v>
      </c>
      <c r="F351" s="37">
        <v>143.49</v>
      </c>
      <c r="G351" s="20" t="s">
        <v>1126</v>
      </c>
      <c r="H351" s="20" t="s">
        <v>785</v>
      </c>
      <c r="I351" s="20" t="s">
        <v>787</v>
      </c>
      <c r="J351" s="20" t="s">
        <v>326</v>
      </c>
      <c r="K351" s="20" t="s">
        <v>563</v>
      </c>
      <c r="L351" s="20" t="s">
        <v>45</v>
      </c>
      <c r="M351" s="20" t="s">
        <v>1127</v>
      </c>
      <c r="N351" s="20" t="s">
        <v>174</v>
      </c>
    </row>
    <row r="352" ht="60.0" customHeight="1">
      <c r="A352" s="17" t="s">
        <v>65</v>
      </c>
      <c r="B352" s="17" t="s">
        <v>55</v>
      </c>
      <c r="C352" s="17" t="s">
        <v>785</v>
      </c>
      <c r="D352" s="17" t="s">
        <v>39</v>
      </c>
      <c r="E352" s="17" t="s">
        <v>40</v>
      </c>
      <c r="F352" s="36">
        <v>272.63</v>
      </c>
      <c r="G352" s="17" t="s">
        <v>1288</v>
      </c>
      <c r="H352" s="17" t="s">
        <v>785</v>
      </c>
      <c r="I352" s="17" t="s">
        <v>787</v>
      </c>
      <c r="J352" s="17" t="s">
        <v>326</v>
      </c>
      <c r="K352" s="17" t="s">
        <v>563</v>
      </c>
      <c r="L352" s="17" t="s">
        <v>45</v>
      </c>
      <c r="M352" s="17" t="s">
        <v>1289</v>
      </c>
      <c r="N352" s="17" t="s">
        <v>174</v>
      </c>
    </row>
    <row r="353" ht="60.0" customHeight="1">
      <c r="A353" s="20" t="s">
        <v>65</v>
      </c>
      <c r="B353" s="20" t="s">
        <v>55</v>
      </c>
      <c r="C353" s="20" t="s">
        <v>700</v>
      </c>
      <c r="D353" s="20" t="s">
        <v>149</v>
      </c>
      <c r="E353" s="20" t="s">
        <v>150</v>
      </c>
      <c r="F353" s="37">
        <v>32.51</v>
      </c>
      <c r="G353" s="20" t="s">
        <v>772</v>
      </c>
      <c r="H353" s="20" t="s">
        <v>700</v>
      </c>
      <c r="I353" s="20" t="s">
        <v>702</v>
      </c>
      <c r="J353" s="20" t="s">
        <v>71</v>
      </c>
      <c r="K353" s="20" t="s">
        <v>112</v>
      </c>
      <c r="L353" s="20" t="s">
        <v>45</v>
      </c>
      <c r="M353" s="20" t="s">
        <v>773</v>
      </c>
      <c r="N353" s="20" t="s">
        <v>114</v>
      </c>
    </row>
    <row r="354" ht="60.0" customHeight="1">
      <c r="A354" s="17" t="s">
        <v>65</v>
      </c>
      <c r="B354" s="17" t="s">
        <v>55</v>
      </c>
      <c r="C354" s="17" t="s">
        <v>700</v>
      </c>
      <c r="D354" s="17" t="s">
        <v>57</v>
      </c>
      <c r="E354" s="17" t="s">
        <v>58</v>
      </c>
      <c r="F354" s="36">
        <v>64.25</v>
      </c>
      <c r="G354" s="17" t="s">
        <v>924</v>
      </c>
      <c r="H354" s="17" t="s">
        <v>700</v>
      </c>
      <c r="I354" s="17" t="s">
        <v>702</v>
      </c>
      <c r="J354" s="17" t="s">
        <v>71</v>
      </c>
      <c r="K354" s="17" t="s">
        <v>112</v>
      </c>
      <c r="L354" s="17" t="s">
        <v>45</v>
      </c>
      <c r="M354" s="17" t="s">
        <v>925</v>
      </c>
      <c r="N354" s="17" t="s">
        <v>114</v>
      </c>
    </row>
    <row r="355" ht="60.0" customHeight="1">
      <c r="A355" s="20" t="s">
        <v>65</v>
      </c>
      <c r="B355" s="20" t="s">
        <v>55</v>
      </c>
      <c r="C355" s="20" t="s">
        <v>1090</v>
      </c>
      <c r="D355" s="20" t="s">
        <v>57</v>
      </c>
      <c r="E355" s="20" t="s">
        <v>58</v>
      </c>
      <c r="F355" s="37">
        <v>120.54</v>
      </c>
      <c r="G355" s="20" t="s">
        <v>1091</v>
      </c>
      <c r="H355" s="20" t="s">
        <v>1090</v>
      </c>
      <c r="I355" s="20" t="s">
        <v>60</v>
      </c>
      <c r="J355" s="20" t="s">
        <v>61</v>
      </c>
      <c r="K355" s="20" t="s">
        <v>62</v>
      </c>
      <c r="L355" s="20" t="s">
        <v>45</v>
      </c>
      <c r="M355" s="20" t="s">
        <v>1092</v>
      </c>
      <c r="N355" s="20" t="s">
        <v>64</v>
      </c>
    </row>
    <row r="356" ht="60.0" customHeight="1">
      <c r="A356" s="17" t="s">
        <v>65</v>
      </c>
      <c r="B356" s="17" t="s">
        <v>55</v>
      </c>
      <c r="C356" s="17" t="s">
        <v>192</v>
      </c>
      <c r="D356" s="17" t="s">
        <v>127</v>
      </c>
      <c r="E356" s="17" t="s">
        <v>128</v>
      </c>
      <c r="F356" s="36">
        <v>11.97</v>
      </c>
      <c r="G356" s="17" t="s">
        <v>578</v>
      </c>
      <c r="H356" s="17" t="s">
        <v>192</v>
      </c>
      <c r="I356" s="17" t="s">
        <v>194</v>
      </c>
      <c r="J356" s="17" t="s">
        <v>142</v>
      </c>
      <c r="K356" s="17" t="s">
        <v>166</v>
      </c>
      <c r="L356" s="17" t="s">
        <v>45</v>
      </c>
      <c r="M356" s="17" t="s">
        <v>579</v>
      </c>
      <c r="N356" s="17" t="s">
        <v>114</v>
      </c>
    </row>
    <row r="357" ht="60.0" customHeight="1">
      <c r="A357" s="20" t="s">
        <v>65</v>
      </c>
      <c r="B357" s="20" t="s">
        <v>55</v>
      </c>
      <c r="C357" s="20" t="s">
        <v>560</v>
      </c>
      <c r="D357" s="20" t="s">
        <v>39</v>
      </c>
      <c r="E357" s="20" t="s">
        <v>40</v>
      </c>
      <c r="F357" s="37">
        <v>52.25</v>
      </c>
      <c r="G357" s="20" t="s">
        <v>884</v>
      </c>
      <c r="H357" s="20" t="s">
        <v>560</v>
      </c>
      <c r="I357" s="20" t="s">
        <v>562</v>
      </c>
      <c r="J357" s="20" t="s">
        <v>326</v>
      </c>
      <c r="K357" s="20" t="s">
        <v>563</v>
      </c>
      <c r="L357" s="20" t="s">
        <v>45</v>
      </c>
      <c r="M357" s="20" t="s">
        <v>885</v>
      </c>
      <c r="N357" s="20" t="s">
        <v>64</v>
      </c>
    </row>
    <row r="358" ht="60.0" customHeight="1">
      <c r="A358" s="17" t="s">
        <v>65</v>
      </c>
      <c r="B358" s="17" t="s">
        <v>55</v>
      </c>
      <c r="C358" s="17" t="s">
        <v>560</v>
      </c>
      <c r="D358" s="17" t="s">
        <v>39</v>
      </c>
      <c r="E358" s="17" t="s">
        <v>40</v>
      </c>
      <c r="F358" s="36">
        <v>57.75</v>
      </c>
      <c r="G358" s="17" t="s">
        <v>914</v>
      </c>
      <c r="H358" s="17" t="s">
        <v>560</v>
      </c>
      <c r="I358" s="17" t="s">
        <v>562</v>
      </c>
      <c r="J358" s="17" t="s">
        <v>326</v>
      </c>
      <c r="K358" s="17" t="s">
        <v>563</v>
      </c>
      <c r="L358" s="17" t="s">
        <v>45</v>
      </c>
      <c r="M358" s="17" t="s">
        <v>915</v>
      </c>
      <c r="N358" s="17" t="s">
        <v>64</v>
      </c>
    </row>
    <row r="359" ht="60.0" customHeight="1">
      <c r="A359" s="20" t="s">
        <v>65</v>
      </c>
      <c r="B359" s="20" t="s">
        <v>55</v>
      </c>
      <c r="C359" s="20" t="s">
        <v>859</v>
      </c>
      <c r="D359" s="20" t="s">
        <v>39</v>
      </c>
      <c r="E359" s="20" t="s">
        <v>40</v>
      </c>
      <c r="F359" s="37">
        <v>48.75</v>
      </c>
      <c r="G359" s="20" t="s">
        <v>860</v>
      </c>
      <c r="H359" s="20" t="s">
        <v>859</v>
      </c>
      <c r="I359" s="20" t="s">
        <v>861</v>
      </c>
      <c r="J359" s="20" t="s">
        <v>862</v>
      </c>
      <c r="K359" s="20" t="s">
        <v>863</v>
      </c>
      <c r="L359" s="20" t="s">
        <v>45</v>
      </c>
      <c r="M359" s="20" t="s">
        <v>864</v>
      </c>
      <c r="N359" s="20" t="s">
        <v>64</v>
      </c>
    </row>
    <row r="360" ht="60.0" customHeight="1">
      <c r="A360" s="17" t="s">
        <v>65</v>
      </c>
      <c r="B360" s="17" t="s">
        <v>55</v>
      </c>
      <c r="C360" s="17" t="s">
        <v>580</v>
      </c>
      <c r="D360" s="17" t="s">
        <v>149</v>
      </c>
      <c r="E360" s="17" t="s">
        <v>150</v>
      </c>
      <c r="F360" s="36">
        <v>12.12</v>
      </c>
      <c r="G360" s="17" t="s">
        <v>581</v>
      </c>
      <c r="H360" s="17" t="s">
        <v>580</v>
      </c>
      <c r="I360" s="17" t="s">
        <v>582</v>
      </c>
      <c r="J360" s="17" t="s">
        <v>305</v>
      </c>
      <c r="K360" s="17" t="s">
        <v>583</v>
      </c>
      <c r="L360" s="17" t="s">
        <v>45</v>
      </c>
      <c r="M360" s="17" t="s">
        <v>584</v>
      </c>
      <c r="N360" s="17" t="s">
        <v>534</v>
      </c>
    </row>
    <row r="361" ht="60.0" customHeight="1">
      <c r="A361" s="20" t="s">
        <v>65</v>
      </c>
      <c r="B361" s="20" t="s">
        <v>55</v>
      </c>
      <c r="C361" s="20" t="s">
        <v>92</v>
      </c>
      <c r="D361" s="20" t="s">
        <v>127</v>
      </c>
      <c r="E361" s="20" t="s">
        <v>128</v>
      </c>
      <c r="F361" s="37">
        <v>15.03</v>
      </c>
      <c r="G361" s="20" t="s">
        <v>624</v>
      </c>
      <c r="H361" s="20" t="s">
        <v>92</v>
      </c>
      <c r="I361" s="20" t="s">
        <v>96</v>
      </c>
      <c r="J361" s="20" t="s">
        <v>97</v>
      </c>
      <c r="K361" s="20" t="s">
        <v>98</v>
      </c>
      <c r="L361" s="20" t="s">
        <v>45</v>
      </c>
      <c r="M361" s="20" t="s">
        <v>625</v>
      </c>
      <c r="N361" s="20" t="s">
        <v>64</v>
      </c>
    </row>
    <row r="362" ht="60.0" customHeight="1">
      <c r="A362" s="17" t="s">
        <v>65</v>
      </c>
      <c r="B362" s="17" t="s">
        <v>55</v>
      </c>
      <c r="C362" s="17" t="s">
        <v>92</v>
      </c>
      <c r="D362" s="17" t="s">
        <v>138</v>
      </c>
      <c r="E362" s="17" t="s">
        <v>139</v>
      </c>
      <c r="F362" s="36">
        <v>175.0</v>
      </c>
      <c r="G362" s="17" t="s">
        <v>1198</v>
      </c>
      <c r="H362" s="17" t="s">
        <v>92</v>
      </c>
      <c r="I362" s="17" t="s">
        <v>208</v>
      </c>
      <c r="J362" s="17" t="s">
        <v>97</v>
      </c>
      <c r="K362" s="17" t="s">
        <v>98</v>
      </c>
      <c r="L362" s="17" t="s">
        <v>45</v>
      </c>
      <c r="M362" s="17" t="s">
        <v>1199</v>
      </c>
      <c r="N362" s="17" t="s">
        <v>64</v>
      </c>
    </row>
    <row r="363" ht="60.0" customHeight="1">
      <c r="A363" s="20" t="s">
        <v>65</v>
      </c>
      <c r="B363" s="20" t="s">
        <v>55</v>
      </c>
      <c r="C363" s="20" t="s">
        <v>1200</v>
      </c>
      <c r="D363" s="20" t="s">
        <v>39</v>
      </c>
      <c r="E363" s="20" t="s">
        <v>40</v>
      </c>
      <c r="F363" s="37">
        <v>175.0</v>
      </c>
      <c r="G363" s="20" t="s">
        <v>1201</v>
      </c>
      <c r="H363" s="20" t="s">
        <v>1200</v>
      </c>
      <c r="I363" s="20" t="s">
        <v>208</v>
      </c>
      <c r="J363" s="20" t="s">
        <v>97</v>
      </c>
      <c r="K363" s="20" t="s">
        <v>98</v>
      </c>
      <c r="L363" s="20" t="s">
        <v>45</v>
      </c>
      <c r="M363" s="20" t="s">
        <v>1202</v>
      </c>
      <c r="N363" s="20" t="s">
        <v>64</v>
      </c>
    </row>
    <row r="364" ht="60.0" customHeight="1">
      <c r="A364" s="17" t="s">
        <v>65</v>
      </c>
      <c r="B364" s="17" t="s">
        <v>55</v>
      </c>
      <c r="C364" s="17" t="s">
        <v>833</v>
      </c>
      <c r="D364" s="17" t="s">
        <v>93</v>
      </c>
      <c r="E364" s="17" t="s">
        <v>94</v>
      </c>
      <c r="F364" s="36">
        <v>113.76</v>
      </c>
      <c r="G364" s="17" t="s">
        <v>834</v>
      </c>
      <c r="H364" s="17" t="s">
        <v>833</v>
      </c>
      <c r="I364" s="17" t="s">
        <v>835</v>
      </c>
      <c r="J364" s="17" t="s">
        <v>142</v>
      </c>
      <c r="K364" s="17" t="s">
        <v>143</v>
      </c>
      <c r="L364" s="17" t="s">
        <v>45</v>
      </c>
      <c r="M364" s="17" t="s">
        <v>1083</v>
      </c>
      <c r="N364" s="17" t="s">
        <v>74</v>
      </c>
    </row>
    <row r="365" ht="60.0" customHeight="1">
      <c r="A365" s="20" t="s">
        <v>65</v>
      </c>
      <c r="B365" s="20" t="s">
        <v>55</v>
      </c>
      <c r="C365" s="20" t="s">
        <v>66</v>
      </c>
      <c r="D365" s="20" t="s">
        <v>67</v>
      </c>
      <c r="E365" s="20" t="s">
        <v>68</v>
      </c>
      <c r="F365" s="37">
        <v>5.0</v>
      </c>
      <c r="G365" s="20" t="s">
        <v>69</v>
      </c>
      <c r="H365" s="20" t="s">
        <v>66</v>
      </c>
      <c r="I365" s="20" t="s">
        <v>70</v>
      </c>
      <c r="J365" s="20" t="s">
        <v>71</v>
      </c>
      <c r="K365" s="20" t="s">
        <v>72</v>
      </c>
      <c r="L365" s="20" t="s">
        <v>45</v>
      </c>
      <c r="M365" s="20" t="s">
        <v>73</v>
      </c>
      <c r="N365" s="20" t="s">
        <v>74</v>
      </c>
    </row>
    <row r="366" ht="60.0" customHeight="1">
      <c r="A366" s="17" t="s">
        <v>65</v>
      </c>
      <c r="B366" s="17" t="s">
        <v>55</v>
      </c>
      <c r="C366" s="17" t="s">
        <v>66</v>
      </c>
      <c r="D366" s="17" t="s">
        <v>67</v>
      </c>
      <c r="E366" s="17" t="s">
        <v>68</v>
      </c>
      <c r="F366" s="36">
        <v>220.4</v>
      </c>
      <c r="G366" s="17" t="s">
        <v>1241</v>
      </c>
      <c r="H366" s="17" t="s">
        <v>66</v>
      </c>
      <c r="I366" s="17" t="s">
        <v>70</v>
      </c>
      <c r="J366" s="17" t="s">
        <v>71</v>
      </c>
      <c r="K366" s="17" t="s">
        <v>72</v>
      </c>
      <c r="L366" s="17" t="s">
        <v>45</v>
      </c>
      <c r="M366" s="17" t="s">
        <v>1242</v>
      </c>
      <c r="N366" s="17" t="s">
        <v>74</v>
      </c>
    </row>
    <row r="367" ht="60.0" customHeight="1">
      <c r="A367" s="20" t="s">
        <v>65</v>
      </c>
      <c r="B367" s="20" t="s">
        <v>55</v>
      </c>
      <c r="C367" s="20" t="s">
        <v>348</v>
      </c>
      <c r="D367" s="20" t="s">
        <v>57</v>
      </c>
      <c r="E367" s="20" t="s">
        <v>58</v>
      </c>
      <c r="F367" s="37">
        <v>174.63</v>
      </c>
      <c r="G367" s="20" t="s">
        <v>393</v>
      </c>
      <c r="H367" s="20" t="s">
        <v>348</v>
      </c>
      <c r="I367" s="20" t="s">
        <v>350</v>
      </c>
      <c r="J367" s="20" t="s">
        <v>119</v>
      </c>
      <c r="K367" s="20" t="s">
        <v>120</v>
      </c>
      <c r="L367" s="20" t="s">
        <v>45</v>
      </c>
      <c r="M367" s="20" t="s">
        <v>394</v>
      </c>
      <c r="N367" s="20" t="s">
        <v>64</v>
      </c>
    </row>
    <row r="368" ht="60.0" customHeight="1">
      <c r="A368" s="17" t="s">
        <v>65</v>
      </c>
      <c r="B368" s="17" t="s">
        <v>55</v>
      </c>
      <c r="C368" s="17" t="s">
        <v>1005</v>
      </c>
      <c r="D368" s="17" t="s">
        <v>353</v>
      </c>
      <c r="E368" s="17" t="s">
        <v>354</v>
      </c>
      <c r="F368" s="36">
        <v>85.56</v>
      </c>
      <c r="G368" s="17" t="s">
        <v>1006</v>
      </c>
      <c r="H368" s="17" t="s">
        <v>1005</v>
      </c>
      <c r="I368" s="17" t="s">
        <v>1007</v>
      </c>
      <c r="J368" s="17" t="s">
        <v>1008</v>
      </c>
      <c r="K368" s="17" t="s">
        <v>1009</v>
      </c>
      <c r="L368" s="17" t="s">
        <v>45</v>
      </c>
      <c r="M368" s="17" t="s">
        <v>1010</v>
      </c>
      <c r="N368" s="17" t="s">
        <v>182</v>
      </c>
    </row>
    <row r="369" ht="60.0" customHeight="1">
      <c r="A369" s="20" t="s">
        <v>65</v>
      </c>
      <c r="B369" s="20" t="s">
        <v>55</v>
      </c>
      <c r="C369" s="20" t="s">
        <v>1296</v>
      </c>
      <c r="D369" s="20" t="s">
        <v>149</v>
      </c>
      <c r="E369" s="20" t="s">
        <v>150</v>
      </c>
      <c r="F369" s="37">
        <v>282.56</v>
      </c>
      <c r="G369" s="20" t="s">
        <v>1297</v>
      </c>
      <c r="H369" s="20" t="s">
        <v>1296</v>
      </c>
      <c r="I369" s="20" t="s">
        <v>618</v>
      </c>
      <c r="J369" s="20" t="s">
        <v>619</v>
      </c>
      <c r="K369" s="20" t="s">
        <v>1298</v>
      </c>
      <c r="L369" s="20" t="s">
        <v>45</v>
      </c>
      <c r="M369" s="20" t="s">
        <v>1299</v>
      </c>
      <c r="N369" s="20" t="s">
        <v>64</v>
      </c>
    </row>
    <row r="370" ht="60.0" customHeight="1">
      <c r="A370" s="17" t="s">
        <v>65</v>
      </c>
      <c r="B370" s="17" t="s">
        <v>55</v>
      </c>
      <c r="C370" s="17" t="s">
        <v>509</v>
      </c>
      <c r="D370" s="17" t="s">
        <v>149</v>
      </c>
      <c r="E370" s="17" t="s">
        <v>150</v>
      </c>
      <c r="F370" s="36">
        <v>15.17</v>
      </c>
      <c r="G370" s="17" t="s">
        <v>626</v>
      </c>
      <c r="H370" s="17" t="s">
        <v>509</v>
      </c>
      <c r="I370" s="17" t="s">
        <v>511</v>
      </c>
      <c r="J370" s="17" t="s">
        <v>512</v>
      </c>
      <c r="K370" s="17" t="s">
        <v>513</v>
      </c>
      <c r="L370" s="17" t="s">
        <v>45</v>
      </c>
      <c r="M370" s="17" t="s">
        <v>627</v>
      </c>
      <c r="N370" s="17" t="s">
        <v>64</v>
      </c>
    </row>
    <row r="371" ht="60.0" customHeight="1">
      <c r="A371" s="20" t="s">
        <v>65</v>
      </c>
      <c r="B371" s="20" t="s">
        <v>55</v>
      </c>
      <c r="C371" s="20" t="s">
        <v>1223</v>
      </c>
      <c r="D371" s="20" t="s">
        <v>353</v>
      </c>
      <c r="E371" s="20" t="s">
        <v>354</v>
      </c>
      <c r="F371" s="37">
        <v>200.0</v>
      </c>
      <c r="G371" s="20" t="s">
        <v>1224</v>
      </c>
      <c r="H371" s="20" t="s">
        <v>1223</v>
      </c>
      <c r="I371" s="20" t="s">
        <v>1225</v>
      </c>
      <c r="J371" s="20" t="s">
        <v>1226</v>
      </c>
      <c r="K371" s="20" t="s">
        <v>1227</v>
      </c>
      <c r="L371" s="20" t="s">
        <v>45</v>
      </c>
      <c r="M371" s="20" t="s">
        <v>1229</v>
      </c>
      <c r="N371" s="20" t="s">
        <v>64</v>
      </c>
    </row>
    <row r="372" ht="60.0" customHeight="1">
      <c r="A372" s="17" t="s">
        <v>65</v>
      </c>
      <c r="B372" s="17" t="s">
        <v>55</v>
      </c>
      <c r="C372" s="17" t="s">
        <v>841</v>
      </c>
      <c r="D372" s="17" t="s">
        <v>39</v>
      </c>
      <c r="E372" s="17" t="s">
        <v>40</v>
      </c>
      <c r="F372" s="36">
        <v>101.07</v>
      </c>
      <c r="G372" s="17" t="s">
        <v>1075</v>
      </c>
      <c r="H372" s="17" t="s">
        <v>841</v>
      </c>
      <c r="I372" s="17" t="s">
        <v>199</v>
      </c>
      <c r="J372" s="17" t="s">
        <v>200</v>
      </c>
      <c r="K372" s="17" t="s">
        <v>201</v>
      </c>
      <c r="L372" s="17" t="s">
        <v>45</v>
      </c>
      <c r="M372" s="17" t="s">
        <v>1076</v>
      </c>
      <c r="N372" s="17" t="s">
        <v>64</v>
      </c>
    </row>
    <row r="373" ht="60.0" customHeight="1">
      <c r="A373" s="20" t="s">
        <v>65</v>
      </c>
      <c r="B373" s="20" t="s">
        <v>55</v>
      </c>
      <c r="C373" s="20" t="s">
        <v>616</v>
      </c>
      <c r="D373" s="20" t="s">
        <v>149</v>
      </c>
      <c r="E373" s="20" t="s">
        <v>150</v>
      </c>
      <c r="F373" s="37">
        <v>13.94</v>
      </c>
      <c r="G373" s="20" t="s">
        <v>617</v>
      </c>
      <c r="H373" s="20" t="s">
        <v>616</v>
      </c>
      <c r="I373" s="20" t="s">
        <v>618</v>
      </c>
      <c r="J373" s="20" t="s">
        <v>619</v>
      </c>
      <c r="K373" s="20" t="s">
        <v>620</v>
      </c>
      <c r="L373" s="20" t="s">
        <v>45</v>
      </c>
      <c r="M373" s="20" t="s">
        <v>621</v>
      </c>
      <c r="N373" s="20" t="s">
        <v>122</v>
      </c>
    </row>
    <row r="374" ht="60.0" customHeight="1">
      <c r="A374" s="17" t="s">
        <v>54</v>
      </c>
      <c r="B374" s="17" t="s">
        <v>55</v>
      </c>
      <c r="C374" s="17" t="s">
        <v>665</v>
      </c>
      <c r="D374" s="17" t="s">
        <v>93</v>
      </c>
      <c r="E374" s="17" t="s">
        <v>94</v>
      </c>
      <c r="F374" s="36">
        <v>117.89</v>
      </c>
      <c r="G374" s="17" t="s">
        <v>1086</v>
      </c>
      <c r="H374" s="17" t="s">
        <v>665</v>
      </c>
      <c r="I374" s="17" t="s">
        <v>667</v>
      </c>
      <c r="J374" s="17" t="s">
        <v>142</v>
      </c>
      <c r="K374" s="17" t="s">
        <v>180</v>
      </c>
      <c r="L374" s="17" t="s">
        <v>45</v>
      </c>
      <c r="M374" s="17" t="s">
        <v>1087</v>
      </c>
      <c r="N374" s="17" t="s">
        <v>174</v>
      </c>
    </row>
    <row r="375" ht="60.0" customHeight="1">
      <c r="A375" s="20" t="s">
        <v>54</v>
      </c>
      <c r="B375" s="20" t="s">
        <v>55</v>
      </c>
      <c r="C375" s="20" t="s">
        <v>700</v>
      </c>
      <c r="D375" s="20" t="s">
        <v>149</v>
      </c>
      <c r="E375" s="20" t="s">
        <v>150</v>
      </c>
      <c r="F375" s="37">
        <v>24.98</v>
      </c>
      <c r="G375" s="20" t="s">
        <v>701</v>
      </c>
      <c r="H375" s="20" t="s">
        <v>700</v>
      </c>
      <c r="I375" s="20" t="s">
        <v>702</v>
      </c>
      <c r="J375" s="20" t="s">
        <v>71</v>
      </c>
      <c r="K375" s="20" t="s">
        <v>112</v>
      </c>
      <c r="L375" s="20" t="s">
        <v>45</v>
      </c>
      <c r="M375" s="20" t="s">
        <v>703</v>
      </c>
      <c r="N375" s="20" t="s">
        <v>114</v>
      </c>
    </row>
    <row r="376" ht="60.0" customHeight="1">
      <c r="A376" s="17" t="s">
        <v>54</v>
      </c>
      <c r="B376" s="17" t="s">
        <v>55</v>
      </c>
      <c r="C376" s="17" t="s">
        <v>411</v>
      </c>
      <c r="D376" s="17" t="s">
        <v>67</v>
      </c>
      <c r="E376" s="17" t="s">
        <v>68</v>
      </c>
      <c r="F376" s="36">
        <v>223.89</v>
      </c>
      <c r="G376" s="17" t="s">
        <v>412</v>
      </c>
      <c r="H376" s="17" t="s">
        <v>411</v>
      </c>
      <c r="I376" s="17" t="s">
        <v>413</v>
      </c>
      <c r="J376" s="17" t="s">
        <v>414</v>
      </c>
      <c r="K376" s="17" t="s">
        <v>415</v>
      </c>
      <c r="L376" s="17" t="s">
        <v>45</v>
      </c>
      <c r="M376" s="17" t="s">
        <v>416</v>
      </c>
      <c r="N376" s="17" t="s">
        <v>417</v>
      </c>
    </row>
    <row r="377" ht="60.0" customHeight="1">
      <c r="A377" s="20" t="s">
        <v>54</v>
      </c>
      <c r="B377" s="20" t="s">
        <v>55</v>
      </c>
      <c r="C377" s="20" t="s">
        <v>360</v>
      </c>
      <c r="D377" s="20" t="s">
        <v>57</v>
      </c>
      <c r="E377" s="20" t="s">
        <v>58</v>
      </c>
      <c r="F377" s="37">
        <v>13.42</v>
      </c>
      <c r="G377" s="20" t="s">
        <v>603</v>
      </c>
      <c r="H377" s="20" t="s">
        <v>360</v>
      </c>
      <c r="I377" s="20" t="s">
        <v>60</v>
      </c>
      <c r="J377" s="20" t="s">
        <v>61</v>
      </c>
      <c r="K377" s="20" t="s">
        <v>62</v>
      </c>
      <c r="L377" s="20" t="s">
        <v>45</v>
      </c>
      <c r="M377" s="20" t="s">
        <v>604</v>
      </c>
      <c r="N377" s="20" t="s">
        <v>64</v>
      </c>
    </row>
    <row r="378" ht="60.0" customHeight="1">
      <c r="A378" s="17" t="s">
        <v>54</v>
      </c>
      <c r="B378" s="17" t="s">
        <v>55</v>
      </c>
      <c r="C378" s="17" t="s">
        <v>360</v>
      </c>
      <c r="D378" s="17" t="s">
        <v>57</v>
      </c>
      <c r="E378" s="17" t="s">
        <v>58</v>
      </c>
      <c r="F378" s="36">
        <v>26.84</v>
      </c>
      <c r="G378" s="17" t="s">
        <v>727</v>
      </c>
      <c r="H378" s="17" t="s">
        <v>360</v>
      </c>
      <c r="I378" s="17" t="s">
        <v>60</v>
      </c>
      <c r="J378" s="17" t="s">
        <v>61</v>
      </c>
      <c r="K378" s="17" t="s">
        <v>62</v>
      </c>
      <c r="L378" s="17" t="s">
        <v>45</v>
      </c>
      <c r="M378" s="17" t="s">
        <v>728</v>
      </c>
      <c r="N378" s="17" t="s">
        <v>64</v>
      </c>
    </row>
    <row r="379" ht="60.0" customHeight="1">
      <c r="A379" s="20" t="s">
        <v>54</v>
      </c>
      <c r="B379" s="20" t="s">
        <v>55</v>
      </c>
      <c r="C379" s="20" t="s">
        <v>360</v>
      </c>
      <c r="D379" s="20" t="s">
        <v>57</v>
      </c>
      <c r="E379" s="20" t="s">
        <v>58</v>
      </c>
      <c r="F379" s="37">
        <v>140.59</v>
      </c>
      <c r="G379" s="20" t="s">
        <v>361</v>
      </c>
      <c r="H379" s="20" t="s">
        <v>360</v>
      </c>
      <c r="I379" s="20" t="s">
        <v>60</v>
      </c>
      <c r="J379" s="20" t="s">
        <v>61</v>
      </c>
      <c r="K379" s="20" t="s">
        <v>62</v>
      </c>
      <c r="L379" s="20" t="s">
        <v>45</v>
      </c>
      <c r="M379" s="20" t="s">
        <v>362</v>
      </c>
      <c r="N379" s="20" t="s">
        <v>64</v>
      </c>
    </row>
    <row r="380" ht="60.0" customHeight="1">
      <c r="A380" s="17" t="s">
        <v>54</v>
      </c>
      <c r="B380" s="17" t="s">
        <v>55</v>
      </c>
      <c r="C380" s="17" t="s">
        <v>56</v>
      </c>
      <c r="D380" s="17" t="s">
        <v>57</v>
      </c>
      <c r="E380" s="17" t="s">
        <v>58</v>
      </c>
      <c r="F380" s="36">
        <v>2.21</v>
      </c>
      <c r="G380" s="17" t="s">
        <v>59</v>
      </c>
      <c r="H380" s="17" t="s">
        <v>56</v>
      </c>
      <c r="I380" s="17" t="s">
        <v>60</v>
      </c>
      <c r="J380" s="17" t="s">
        <v>61</v>
      </c>
      <c r="K380" s="17" t="s">
        <v>62</v>
      </c>
      <c r="L380" s="17" t="s">
        <v>45</v>
      </c>
      <c r="M380" s="17" t="s">
        <v>63</v>
      </c>
      <c r="N380" s="17" t="s">
        <v>64</v>
      </c>
    </row>
    <row r="381" ht="60.0" customHeight="1">
      <c r="A381" s="20" t="s">
        <v>54</v>
      </c>
      <c r="B381" s="20" t="s">
        <v>55</v>
      </c>
      <c r="C381" s="20" t="s">
        <v>56</v>
      </c>
      <c r="D381" s="20" t="s">
        <v>57</v>
      </c>
      <c r="E381" s="20" t="s">
        <v>58</v>
      </c>
      <c r="F381" s="37">
        <v>100.0</v>
      </c>
      <c r="G381" s="20" t="s">
        <v>1073</v>
      </c>
      <c r="H381" s="20" t="s">
        <v>56</v>
      </c>
      <c r="I381" s="20" t="s">
        <v>60</v>
      </c>
      <c r="J381" s="20" t="s">
        <v>61</v>
      </c>
      <c r="K381" s="20" t="s">
        <v>62</v>
      </c>
      <c r="L381" s="20" t="s">
        <v>45</v>
      </c>
      <c r="M381" s="20" t="s">
        <v>1074</v>
      </c>
      <c r="N381" s="20" t="s">
        <v>64</v>
      </c>
    </row>
    <row r="382" ht="60.0" customHeight="1">
      <c r="A382" s="17" t="s">
        <v>54</v>
      </c>
      <c r="B382" s="17" t="s">
        <v>55</v>
      </c>
      <c r="C382" s="17" t="s">
        <v>92</v>
      </c>
      <c r="D382" s="17" t="s">
        <v>93</v>
      </c>
      <c r="E382" s="17" t="s">
        <v>94</v>
      </c>
      <c r="F382" s="36">
        <v>15.73</v>
      </c>
      <c r="G382" s="17" t="s">
        <v>628</v>
      </c>
      <c r="H382" s="17" t="s">
        <v>92</v>
      </c>
      <c r="I382" s="17" t="s">
        <v>96</v>
      </c>
      <c r="J382" s="17" t="s">
        <v>97</v>
      </c>
      <c r="K382" s="17" t="s">
        <v>98</v>
      </c>
      <c r="L382" s="17" t="s">
        <v>45</v>
      </c>
      <c r="M382" s="17" t="s">
        <v>629</v>
      </c>
      <c r="N382" s="17" t="s">
        <v>64</v>
      </c>
    </row>
    <row r="383" ht="60.0" customHeight="1">
      <c r="A383" s="20" t="s">
        <v>54</v>
      </c>
      <c r="B383" s="20" t="s">
        <v>55</v>
      </c>
      <c r="C383" s="20" t="s">
        <v>92</v>
      </c>
      <c r="D383" s="20" t="s">
        <v>138</v>
      </c>
      <c r="E383" s="20" t="s">
        <v>139</v>
      </c>
      <c r="F383" s="37">
        <v>27.65</v>
      </c>
      <c r="G383" s="20" t="s">
        <v>737</v>
      </c>
      <c r="H383" s="20" t="s">
        <v>92</v>
      </c>
      <c r="I383" s="20" t="s">
        <v>208</v>
      </c>
      <c r="J383" s="20" t="s">
        <v>97</v>
      </c>
      <c r="K383" s="20" t="s">
        <v>98</v>
      </c>
      <c r="L383" s="20" t="s">
        <v>45</v>
      </c>
      <c r="M383" s="20" t="s">
        <v>738</v>
      </c>
      <c r="N383" s="20" t="s">
        <v>64</v>
      </c>
    </row>
    <row r="384" ht="60.0" customHeight="1">
      <c r="A384" s="17" t="s">
        <v>54</v>
      </c>
      <c r="B384" s="17" t="s">
        <v>55</v>
      </c>
      <c r="C384" s="17" t="s">
        <v>92</v>
      </c>
      <c r="D384" s="17" t="s">
        <v>93</v>
      </c>
      <c r="E384" s="17" t="s">
        <v>94</v>
      </c>
      <c r="F384" s="36">
        <v>175.0</v>
      </c>
      <c r="G384" s="17" t="s">
        <v>1205</v>
      </c>
      <c r="H384" s="17" t="s">
        <v>92</v>
      </c>
      <c r="I384" s="17" t="s">
        <v>208</v>
      </c>
      <c r="J384" s="17" t="s">
        <v>97</v>
      </c>
      <c r="K384" s="17" t="s">
        <v>98</v>
      </c>
      <c r="L384" s="17" t="s">
        <v>45</v>
      </c>
      <c r="M384" s="17" t="s">
        <v>1206</v>
      </c>
      <c r="N384" s="17" t="s">
        <v>64</v>
      </c>
    </row>
    <row r="385" ht="60.0" customHeight="1">
      <c r="A385" s="20" t="s">
        <v>54</v>
      </c>
      <c r="B385" s="20" t="s">
        <v>55</v>
      </c>
      <c r="C385" s="20" t="s">
        <v>1270</v>
      </c>
      <c r="D385" s="20" t="s">
        <v>67</v>
      </c>
      <c r="E385" s="20" t="s">
        <v>68</v>
      </c>
      <c r="F385" s="37">
        <v>258.68</v>
      </c>
      <c r="G385" s="20" t="s">
        <v>1271</v>
      </c>
      <c r="H385" s="20" t="s">
        <v>1270</v>
      </c>
      <c r="I385" s="20" t="s">
        <v>1272</v>
      </c>
      <c r="J385" s="20" t="s">
        <v>1273</v>
      </c>
      <c r="K385" s="20" t="s">
        <v>1274</v>
      </c>
      <c r="L385" s="20" t="s">
        <v>45</v>
      </c>
      <c r="M385" s="20" t="s">
        <v>1275</v>
      </c>
      <c r="N385" s="20" t="s">
        <v>107</v>
      </c>
    </row>
    <row r="386" ht="60.0" customHeight="1">
      <c r="A386" s="17" t="s">
        <v>54</v>
      </c>
      <c r="B386" s="17" t="s">
        <v>55</v>
      </c>
      <c r="C386" s="17" t="s">
        <v>430</v>
      </c>
      <c r="D386" s="17" t="s">
        <v>39</v>
      </c>
      <c r="E386" s="17" t="s">
        <v>40</v>
      </c>
      <c r="F386" s="36">
        <v>513.9</v>
      </c>
      <c r="G386" s="17" t="s">
        <v>1353</v>
      </c>
      <c r="H386" s="17" t="s">
        <v>430</v>
      </c>
      <c r="I386" s="17" t="s">
        <v>432</v>
      </c>
      <c r="J386" s="17" t="s">
        <v>433</v>
      </c>
      <c r="K386" s="17" t="s">
        <v>434</v>
      </c>
      <c r="L386" s="17" t="s">
        <v>45</v>
      </c>
      <c r="M386" s="17" t="s">
        <v>1354</v>
      </c>
      <c r="N386" s="17" t="s">
        <v>74</v>
      </c>
    </row>
    <row r="387" ht="60.0" customHeight="1">
      <c r="A387" s="20" t="s">
        <v>54</v>
      </c>
      <c r="B387" s="20" t="s">
        <v>55</v>
      </c>
      <c r="C387" s="20" t="s">
        <v>177</v>
      </c>
      <c r="D387" s="20" t="s">
        <v>93</v>
      </c>
      <c r="E387" s="20" t="s">
        <v>94</v>
      </c>
      <c r="F387" s="37">
        <v>27.4</v>
      </c>
      <c r="G387" s="20" t="s">
        <v>178</v>
      </c>
      <c r="H387" s="20" t="s">
        <v>177</v>
      </c>
      <c r="I387" s="20" t="s">
        <v>179</v>
      </c>
      <c r="J387" s="20" t="s">
        <v>142</v>
      </c>
      <c r="K387" s="20" t="s">
        <v>180</v>
      </c>
      <c r="L387" s="20" t="s">
        <v>45</v>
      </c>
      <c r="M387" s="20" t="s">
        <v>181</v>
      </c>
      <c r="N387" s="20" t="s">
        <v>182</v>
      </c>
    </row>
    <row r="388" ht="60.0" customHeight="1">
      <c r="A388" s="17" t="s">
        <v>54</v>
      </c>
      <c r="B388" s="17" t="s">
        <v>55</v>
      </c>
      <c r="C388" s="17" t="s">
        <v>723</v>
      </c>
      <c r="D388" s="17" t="s">
        <v>127</v>
      </c>
      <c r="E388" s="17" t="s">
        <v>128</v>
      </c>
      <c r="F388" s="36">
        <v>26.67</v>
      </c>
      <c r="G388" s="17" t="s">
        <v>724</v>
      </c>
      <c r="H388" s="17" t="s">
        <v>723</v>
      </c>
      <c r="I388" s="17" t="s">
        <v>725</v>
      </c>
      <c r="J388" s="17" t="s">
        <v>613</v>
      </c>
      <c r="K388" s="17" t="s">
        <v>614</v>
      </c>
      <c r="L388" s="17" t="s">
        <v>45</v>
      </c>
      <c r="M388" s="17" t="s">
        <v>726</v>
      </c>
      <c r="N388" s="17" t="s">
        <v>122</v>
      </c>
    </row>
    <row r="389" ht="60.0" customHeight="1">
      <c r="A389" s="20" t="s">
        <v>54</v>
      </c>
      <c r="B389" s="20" t="s">
        <v>55</v>
      </c>
      <c r="C389" s="20" t="s">
        <v>1217</v>
      </c>
      <c r="D389" s="20" t="s">
        <v>353</v>
      </c>
      <c r="E389" s="20" t="s">
        <v>354</v>
      </c>
      <c r="F389" s="37">
        <v>200.0</v>
      </c>
      <c r="G389" s="20" t="s">
        <v>1218</v>
      </c>
      <c r="H389" s="20" t="s">
        <v>1217</v>
      </c>
      <c r="I389" s="20" t="s">
        <v>1219</v>
      </c>
      <c r="J389" s="20" t="s">
        <v>1220</v>
      </c>
      <c r="K389" s="20" t="s">
        <v>1221</v>
      </c>
      <c r="L389" s="20" t="s">
        <v>45</v>
      </c>
      <c r="M389" s="20" t="s">
        <v>1222</v>
      </c>
      <c r="N389" s="20" t="s">
        <v>64</v>
      </c>
    </row>
    <row r="390" ht="60.0" customHeight="1">
      <c r="A390" s="17" t="s">
        <v>54</v>
      </c>
      <c r="B390" s="17" t="s">
        <v>55</v>
      </c>
      <c r="C390" s="17" t="s">
        <v>509</v>
      </c>
      <c r="D390" s="17" t="s">
        <v>149</v>
      </c>
      <c r="E390" s="17" t="s">
        <v>150</v>
      </c>
      <c r="F390" s="36">
        <v>2.59</v>
      </c>
      <c r="G390" s="17" t="s">
        <v>510</v>
      </c>
      <c r="H390" s="17" t="s">
        <v>509</v>
      </c>
      <c r="I390" s="17" t="s">
        <v>511</v>
      </c>
      <c r="J390" s="17" t="s">
        <v>512</v>
      </c>
      <c r="K390" s="17" t="s">
        <v>513</v>
      </c>
      <c r="L390" s="17" t="s">
        <v>45</v>
      </c>
      <c r="M390" s="17" t="s">
        <v>514</v>
      </c>
      <c r="N390" s="17" t="s">
        <v>64</v>
      </c>
    </row>
    <row r="391" ht="60.0" customHeight="1">
      <c r="A391" s="20" t="s">
        <v>54</v>
      </c>
      <c r="B391" s="20" t="s">
        <v>55</v>
      </c>
      <c r="C391" s="20" t="s">
        <v>509</v>
      </c>
      <c r="D391" s="20" t="s">
        <v>149</v>
      </c>
      <c r="E391" s="20" t="s">
        <v>150</v>
      </c>
      <c r="F391" s="37">
        <v>212.33</v>
      </c>
      <c r="G391" s="20" t="s">
        <v>1237</v>
      </c>
      <c r="H391" s="20" t="s">
        <v>509</v>
      </c>
      <c r="I391" s="20" t="s">
        <v>511</v>
      </c>
      <c r="J391" s="20" t="s">
        <v>512</v>
      </c>
      <c r="K391" s="20" t="s">
        <v>513</v>
      </c>
      <c r="L391" s="20" t="s">
        <v>45</v>
      </c>
      <c r="M391" s="20" t="s">
        <v>1238</v>
      </c>
      <c r="N391" s="20" t="s">
        <v>64</v>
      </c>
    </row>
    <row r="392" ht="60.0" customHeight="1">
      <c r="A392" s="17" t="s">
        <v>54</v>
      </c>
      <c r="B392" s="17" t="s">
        <v>55</v>
      </c>
      <c r="C392" s="17" t="s">
        <v>509</v>
      </c>
      <c r="D392" s="17" t="s">
        <v>149</v>
      </c>
      <c r="E392" s="17" t="s">
        <v>150</v>
      </c>
      <c r="F392" s="36">
        <v>350.0</v>
      </c>
      <c r="G392" s="17" t="s">
        <v>1328</v>
      </c>
      <c r="H392" s="17" t="s">
        <v>509</v>
      </c>
      <c r="I392" s="17" t="s">
        <v>511</v>
      </c>
      <c r="J392" s="17" t="s">
        <v>512</v>
      </c>
      <c r="K392" s="17" t="s">
        <v>513</v>
      </c>
      <c r="L392" s="17" t="s">
        <v>45</v>
      </c>
      <c r="M392" s="17" t="s">
        <v>1329</v>
      </c>
      <c r="N392" s="17" t="s">
        <v>64</v>
      </c>
    </row>
    <row r="393" ht="60.0" customHeight="1">
      <c r="A393" s="20" t="s">
        <v>54</v>
      </c>
      <c r="B393" s="20" t="s">
        <v>55</v>
      </c>
      <c r="C393" s="20" t="s">
        <v>636</v>
      </c>
      <c r="D393" s="20" t="s">
        <v>127</v>
      </c>
      <c r="E393" s="20" t="s">
        <v>128</v>
      </c>
      <c r="F393" s="37">
        <v>15.92</v>
      </c>
      <c r="G393" s="20" t="s">
        <v>637</v>
      </c>
      <c r="H393" s="20" t="s">
        <v>636</v>
      </c>
      <c r="I393" s="20" t="s">
        <v>638</v>
      </c>
      <c r="J393" s="20" t="s">
        <v>613</v>
      </c>
      <c r="K393" s="20" t="s">
        <v>614</v>
      </c>
      <c r="L393" s="20" t="s">
        <v>45</v>
      </c>
      <c r="M393" s="20" t="s">
        <v>639</v>
      </c>
      <c r="N393" s="20" t="s">
        <v>74</v>
      </c>
    </row>
    <row r="394" ht="60.0" customHeight="1">
      <c r="A394" s="17" t="s">
        <v>54</v>
      </c>
      <c r="B394" s="17" t="s">
        <v>55</v>
      </c>
      <c r="C394" s="17" t="s">
        <v>636</v>
      </c>
      <c r="D394" s="17" t="s">
        <v>127</v>
      </c>
      <c r="E394" s="17" t="s">
        <v>128</v>
      </c>
      <c r="F394" s="36">
        <v>34.98</v>
      </c>
      <c r="G394" s="17" t="s">
        <v>791</v>
      </c>
      <c r="H394" s="17" t="s">
        <v>636</v>
      </c>
      <c r="I394" s="17" t="s">
        <v>638</v>
      </c>
      <c r="J394" s="17" t="s">
        <v>613</v>
      </c>
      <c r="K394" s="17" t="s">
        <v>614</v>
      </c>
      <c r="L394" s="17" t="s">
        <v>45</v>
      </c>
      <c r="M394" s="17" t="s">
        <v>792</v>
      </c>
      <c r="N394" s="17" t="s">
        <v>64</v>
      </c>
    </row>
    <row r="395" ht="60.0" customHeight="1">
      <c r="A395" s="20" t="s">
        <v>54</v>
      </c>
      <c r="B395" s="20" t="s">
        <v>55</v>
      </c>
      <c r="C395" s="20" t="s">
        <v>1367</v>
      </c>
      <c r="D395" s="20" t="s">
        <v>67</v>
      </c>
      <c r="E395" s="20" t="s">
        <v>68</v>
      </c>
      <c r="F395" s="37">
        <v>832.5</v>
      </c>
      <c r="G395" s="20" t="s">
        <v>1368</v>
      </c>
      <c r="H395" s="20" t="s">
        <v>1367</v>
      </c>
      <c r="I395" s="20" t="s">
        <v>1369</v>
      </c>
      <c r="J395" s="20" t="s">
        <v>1313</v>
      </c>
      <c r="K395" s="20" t="s">
        <v>1370</v>
      </c>
      <c r="L395" s="20" t="s">
        <v>45</v>
      </c>
      <c r="M395" s="20" t="s">
        <v>1371</v>
      </c>
      <c r="N395" s="20" t="s">
        <v>417</v>
      </c>
    </row>
    <row r="396" ht="60.0" customHeight="1">
      <c r="A396" s="17" t="s">
        <v>54</v>
      </c>
      <c r="B396" s="17" t="s">
        <v>55</v>
      </c>
      <c r="C396" s="17" t="s">
        <v>1223</v>
      </c>
      <c r="D396" s="17" t="s">
        <v>353</v>
      </c>
      <c r="E396" s="17" t="s">
        <v>354</v>
      </c>
      <c r="F396" s="36">
        <v>200.0</v>
      </c>
      <c r="G396" s="17" t="s">
        <v>1224</v>
      </c>
      <c r="H396" s="17" t="s">
        <v>1223</v>
      </c>
      <c r="I396" s="17" t="s">
        <v>1225</v>
      </c>
      <c r="J396" s="17" t="s">
        <v>1226</v>
      </c>
      <c r="K396" s="17" t="s">
        <v>1227</v>
      </c>
      <c r="L396" s="17" t="s">
        <v>45</v>
      </c>
      <c r="M396" s="17" t="s">
        <v>1228</v>
      </c>
      <c r="N396" s="17" t="s">
        <v>64</v>
      </c>
    </row>
    <row r="397" ht="60.0" customHeight="1">
      <c r="A397" s="20" t="s">
        <v>54</v>
      </c>
      <c r="B397" s="20" t="s">
        <v>55</v>
      </c>
      <c r="C397" s="20" t="s">
        <v>640</v>
      </c>
      <c r="D397" s="20" t="s">
        <v>149</v>
      </c>
      <c r="E397" s="20" t="s">
        <v>150</v>
      </c>
      <c r="F397" s="37">
        <v>16.15</v>
      </c>
      <c r="G397" s="20" t="s">
        <v>641</v>
      </c>
      <c r="H397" s="20" t="s">
        <v>640</v>
      </c>
      <c r="I397" s="20" t="s">
        <v>642</v>
      </c>
      <c r="J397" s="20" t="s">
        <v>305</v>
      </c>
      <c r="K397" s="20" t="s">
        <v>583</v>
      </c>
      <c r="L397" s="20" t="s">
        <v>45</v>
      </c>
      <c r="M397" s="20" t="s">
        <v>643</v>
      </c>
      <c r="N397" s="20" t="s">
        <v>417</v>
      </c>
    </row>
    <row r="398" ht="60.0" customHeight="1">
      <c r="A398" s="17" t="s">
        <v>54</v>
      </c>
      <c r="B398" s="17" t="s">
        <v>55</v>
      </c>
      <c r="C398" s="17" t="s">
        <v>766</v>
      </c>
      <c r="D398" s="17" t="s">
        <v>127</v>
      </c>
      <c r="E398" s="17" t="s">
        <v>128</v>
      </c>
      <c r="F398" s="36">
        <v>45.91</v>
      </c>
      <c r="G398" s="17" t="s">
        <v>846</v>
      </c>
      <c r="H398" s="17" t="s">
        <v>766</v>
      </c>
      <c r="I398" s="17" t="s">
        <v>768</v>
      </c>
      <c r="J398" s="17" t="s">
        <v>142</v>
      </c>
      <c r="K398" s="17" t="s">
        <v>166</v>
      </c>
      <c r="L398" s="17" t="s">
        <v>45</v>
      </c>
      <c r="M398" s="17" t="s">
        <v>847</v>
      </c>
      <c r="N398" s="17" t="s">
        <v>74</v>
      </c>
    </row>
    <row r="399" ht="60.0" customHeight="1">
      <c r="A399" s="20" t="s">
        <v>54</v>
      </c>
      <c r="B399" s="20" t="s">
        <v>55</v>
      </c>
      <c r="C399" s="20" t="s">
        <v>766</v>
      </c>
      <c r="D399" s="20" t="s">
        <v>57</v>
      </c>
      <c r="E399" s="20" t="s">
        <v>58</v>
      </c>
      <c r="F399" s="37">
        <v>53.36</v>
      </c>
      <c r="G399" s="20" t="s">
        <v>894</v>
      </c>
      <c r="H399" s="20" t="s">
        <v>766</v>
      </c>
      <c r="I399" s="20" t="s">
        <v>768</v>
      </c>
      <c r="J399" s="20" t="s">
        <v>142</v>
      </c>
      <c r="K399" s="20" t="s">
        <v>166</v>
      </c>
      <c r="L399" s="20" t="s">
        <v>45</v>
      </c>
      <c r="M399" s="20" t="s">
        <v>895</v>
      </c>
      <c r="N399" s="20" t="s">
        <v>74</v>
      </c>
    </row>
    <row r="400" ht="60.0" customHeight="1">
      <c r="A400" s="17" t="s">
        <v>301</v>
      </c>
      <c r="B400" s="17" t="s">
        <v>55</v>
      </c>
      <c r="C400" s="17" t="s">
        <v>1024</v>
      </c>
      <c r="D400" s="17" t="s">
        <v>138</v>
      </c>
      <c r="E400" s="17" t="s">
        <v>139</v>
      </c>
      <c r="F400" s="36">
        <v>92.64</v>
      </c>
      <c r="G400" s="17" t="s">
        <v>1025</v>
      </c>
      <c r="H400" s="17" t="s">
        <v>1024</v>
      </c>
      <c r="I400" s="17" t="s">
        <v>1026</v>
      </c>
      <c r="J400" s="17" t="s">
        <v>142</v>
      </c>
      <c r="K400" s="17" t="s">
        <v>180</v>
      </c>
      <c r="L400" s="17" t="s">
        <v>45</v>
      </c>
      <c r="M400" s="17" t="s">
        <v>1027</v>
      </c>
      <c r="N400" s="17" t="s">
        <v>174</v>
      </c>
    </row>
    <row r="401" ht="60.0" customHeight="1">
      <c r="A401" s="20" t="s">
        <v>301</v>
      </c>
      <c r="B401" s="20" t="s">
        <v>55</v>
      </c>
      <c r="C401" s="20" t="s">
        <v>700</v>
      </c>
      <c r="D401" s="20" t="s">
        <v>57</v>
      </c>
      <c r="E401" s="20" t="s">
        <v>58</v>
      </c>
      <c r="F401" s="37">
        <v>35.77</v>
      </c>
      <c r="G401" s="20" t="s">
        <v>793</v>
      </c>
      <c r="H401" s="20" t="s">
        <v>700</v>
      </c>
      <c r="I401" s="20" t="s">
        <v>702</v>
      </c>
      <c r="J401" s="20" t="s">
        <v>71</v>
      </c>
      <c r="K401" s="20" t="s">
        <v>112</v>
      </c>
      <c r="L401" s="20" t="s">
        <v>45</v>
      </c>
      <c r="M401" s="20" t="s">
        <v>794</v>
      </c>
      <c r="N401" s="20" t="s">
        <v>114</v>
      </c>
    </row>
    <row r="402" ht="60.0" customHeight="1">
      <c r="A402" s="17" t="s">
        <v>301</v>
      </c>
      <c r="B402" s="17" t="s">
        <v>55</v>
      </c>
      <c r="C402" s="17" t="s">
        <v>548</v>
      </c>
      <c r="D402" s="17" t="s">
        <v>149</v>
      </c>
      <c r="E402" s="17" t="s">
        <v>150</v>
      </c>
      <c r="F402" s="36">
        <v>10.58</v>
      </c>
      <c r="G402" s="17" t="s">
        <v>549</v>
      </c>
      <c r="H402" s="17" t="s">
        <v>548</v>
      </c>
      <c r="I402" s="17" t="s">
        <v>550</v>
      </c>
      <c r="J402" s="17" t="s">
        <v>551</v>
      </c>
      <c r="K402" s="17" t="s">
        <v>552</v>
      </c>
      <c r="L402" s="17" t="s">
        <v>45</v>
      </c>
      <c r="M402" s="17" t="s">
        <v>553</v>
      </c>
      <c r="N402" s="17" t="s">
        <v>64</v>
      </c>
    </row>
    <row r="403" ht="60.0" customHeight="1">
      <c r="A403" s="20" t="s">
        <v>301</v>
      </c>
      <c r="B403" s="20" t="s">
        <v>55</v>
      </c>
      <c r="C403" s="20" t="s">
        <v>251</v>
      </c>
      <c r="D403" s="20" t="s">
        <v>57</v>
      </c>
      <c r="E403" s="20" t="s">
        <v>58</v>
      </c>
      <c r="F403" s="37">
        <v>178.64</v>
      </c>
      <c r="G403" s="20" t="s">
        <v>395</v>
      </c>
      <c r="H403" s="20" t="s">
        <v>251</v>
      </c>
      <c r="I403" s="20" t="s">
        <v>253</v>
      </c>
      <c r="J403" s="20" t="s">
        <v>142</v>
      </c>
      <c r="K403" s="20" t="s">
        <v>143</v>
      </c>
      <c r="L403" s="20" t="s">
        <v>45</v>
      </c>
      <c r="M403" s="20" t="s">
        <v>396</v>
      </c>
      <c r="N403" s="20" t="s">
        <v>114</v>
      </c>
    </row>
    <row r="404" ht="60.0" customHeight="1">
      <c r="A404" s="17" t="s">
        <v>301</v>
      </c>
      <c r="B404" s="17" t="s">
        <v>55</v>
      </c>
      <c r="C404" s="17" t="s">
        <v>302</v>
      </c>
      <c r="D404" s="17" t="s">
        <v>149</v>
      </c>
      <c r="E404" s="17" t="s">
        <v>150</v>
      </c>
      <c r="F404" s="36">
        <v>100.17</v>
      </c>
      <c r="G404" s="17" t="s">
        <v>303</v>
      </c>
      <c r="H404" s="17" t="s">
        <v>302</v>
      </c>
      <c r="I404" s="17" t="s">
        <v>304</v>
      </c>
      <c r="J404" s="17" t="s">
        <v>305</v>
      </c>
      <c r="K404" s="17" t="s">
        <v>306</v>
      </c>
      <c r="L404" s="17" t="s">
        <v>45</v>
      </c>
      <c r="M404" s="17" t="s">
        <v>307</v>
      </c>
      <c r="N404" s="17" t="s">
        <v>308</v>
      </c>
    </row>
    <row r="405" ht="60.0" customHeight="1">
      <c r="A405" s="20" t="s">
        <v>301</v>
      </c>
      <c r="B405" s="20" t="s">
        <v>55</v>
      </c>
      <c r="C405" s="20" t="s">
        <v>302</v>
      </c>
      <c r="D405" s="20" t="s">
        <v>149</v>
      </c>
      <c r="E405" s="20" t="s">
        <v>150</v>
      </c>
      <c r="F405" s="37">
        <v>237.03</v>
      </c>
      <c r="G405" s="20" t="s">
        <v>1250</v>
      </c>
      <c r="H405" s="20" t="s">
        <v>302</v>
      </c>
      <c r="I405" s="20" t="s">
        <v>304</v>
      </c>
      <c r="J405" s="20" t="s">
        <v>305</v>
      </c>
      <c r="K405" s="20" t="s">
        <v>306</v>
      </c>
      <c r="L405" s="20" t="s">
        <v>45</v>
      </c>
      <c r="M405" s="20" t="s">
        <v>1251</v>
      </c>
      <c r="N405" s="20" t="s">
        <v>308</v>
      </c>
    </row>
    <row r="406" ht="60.0" customHeight="1">
      <c r="A406" s="17" t="s">
        <v>301</v>
      </c>
      <c r="B406" s="17" t="s">
        <v>55</v>
      </c>
      <c r="C406" s="17" t="s">
        <v>1040</v>
      </c>
      <c r="D406" s="17" t="s">
        <v>138</v>
      </c>
      <c r="E406" s="17" t="s">
        <v>139</v>
      </c>
      <c r="F406" s="36">
        <v>99.17</v>
      </c>
      <c r="G406" s="17" t="s">
        <v>1041</v>
      </c>
      <c r="H406" s="17" t="s">
        <v>1040</v>
      </c>
      <c r="I406" s="17" t="s">
        <v>1042</v>
      </c>
      <c r="J406" s="17" t="s">
        <v>142</v>
      </c>
      <c r="K406" s="17" t="s">
        <v>180</v>
      </c>
      <c r="L406" s="17" t="s">
        <v>45</v>
      </c>
      <c r="M406" s="17" t="s">
        <v>1043</v>
      </c>
      <c r="N406" s="17" t="s">
        <v>182</v>
      </c>
    </row>
    <row r="407" ht="60.0" customHeight="1">
      <c r="A407" s="20" t="s">
        <v>262</v>
      </c>
      <c r="B407" s="20" t="s">
        <v>55</v>
      </c>
      <c r="C407" s="20" t="s">
        <v>1234</v>
      </c>
      <c r="D407" s="20" t="s">
        <v>57</v>
      </c>
      <c r="E407" s="20" t="s">
        <v>58</v>
      </c>
      <c r="F407" s="37">
        <v>200.0</v>
      </c>
      <c r="G407" s="20" t="s">
        <v>1235</v>
      </c>
      <c r="H407" s="20" t="s">
        <v>1234</v>
      </c>
      <c r="I407" s="20" t="s">
        <v>279</v>
      </c>
      <c r="J407" s="20" t="s">
        <v>280</v>
      </c>
      <c r="K407" s="20" t="s">
        <v>281</v>
      </c>
      <c r="L407" s="20" t="s">
        <v>45</v>
      </c>
      <c r="M407" s="20" t="s">
        <v>1236</v>
      </c>
      <c r="N407" s="20" t="s">
        <v>64</v>
      </c>
    </row>
    <row r="408" ht="60.0" customHeight="1">
      <c r="A408" s="17" t="s">
        <v>262</v>
      </c>
      <c r="B408" s="17" t="s">
        <v>55</v>
      </c>
      <c r="C408" s="17" t="s">
        <v>283</v>
      </c>
      <c r="D408" s="17" t="s">
        <v>93</v>
      </c>
      <c r="E408" s="17" t="s">
        <v>94</v>
      </c>
      <c r="F408" s="36">
        <v>96.72</v>
      </c>
      <c r="G408" s="17" t="s">
        <v>284</v>
      </c>
      <c r="H408" s="17" t="s">
        <v>283</v>
      </c>
      <c r="I408" s="17" t="s">
        <v>285</v>
      </c>
      <c r="J408" s="17" t="s">
        <v>71</v>
      </c>
      <c r="K408" s="17" t="s">
        <v>249</v>
      </c>
      <c r="L408" s="17" t="s">
        <v>45</v>
      </c>
      <c r="M408" s="17" t="s">
        <v>286</v>
      </c>
      <c r="N408" s="17" t="s">
        <v>287</v>
      </c>
    </row>
    <row r="409" ht="60.0" customHeight="1">
      <c r="A409" s="20" t="s">
        <v>262</v>
      </c>
      <c r="B409" s="20" t="s">
        <v>55</v>
      </c>
      <c r="C409" s="20" t="s">
        <v>157</v>
      </c>
      <c r="D409" s="20" t="s">
        <v>353</v>
      </c>
      <c r="E409" s="20" t="s">
        <v>354</v>
      </c>
      <c r="F409" s="37">
        <v>47.68</v>
      </c>
      <c r="G409" s="20" t="s">
        <v>855</v>
      </c>
      <c r="H409" s="20" t="s">
        <v>159</v>
      </c>
      <c r="I409" s="20" t="s">
        <v>86</v>
      </c>
      <c r="J409" s="20" t="s">
        <v>87</v>
      </c>
      <c r="K409" s="20" t="s">
        <v>88</v>
      </c>
      <c r="L409" s="20" t="s">
        <v>45</v>
      </c>
      <c r="M409" s="20" t="s">
        <v>856</v>
      </c>
      <c r="N409" s="20" t="s">
        <v>90</v>
      </c>
    </row>
    <row r="410" ht="60.0" customHeight="1">
      <c r="A410" s="17" t="s">
        <v>262</v>
      </c>
      <c r="B410" s="17" t="s">
        <v>55</v>
      </c>
      <c r="C410" s="17" t="s">
        <v>700</v>
      </c>
      <c r="D410" s="17" t="s">
        <v>57</v>
      </c>
      <c r="E410" s="17" t="s">
        <v>58</v>
      </c>
      <c r="F410" s="36">
        <v>88.39</v>
      </c>
      <c r="G410" s="17" t="s">
        <v>1018</v>
      </c>
      <c r="H410" s="17" t="s">
        <v>700</v>
      </c>
      <c r="I410" s="17" t="s">
        <v>702</v>
      </c>
      <c r="J410" s="17" t="s">
        <v>71</v>
      </c>
      <c r="K410" s="17" t="s">
        <v>112</v>
      </c>
      <c r="L410" s="17" t="s">
        <v>45</v>
      </c>
      <c r="M410" s="17" t="s">
        <v>1019</v>
      </c>
      <c r="N410" s="17" t="s">
        <v>114</v>
      </c>
    </row>
    <row r="411" ht="60.0" customHeight="1">
      <c r="A411" s="20" t="s">
        <v>262</v>
      </c>
      <c r="B411" s="20" t="s">
        <v>55</v>
      </c>
      <c r="C411" s="20" t="s">
        <v>92</v>
      </c>
      <c r="D411" s="20" t="s">
        <v>138</v>
      </c>
      <c r="E411" s="20" t="s">
        <v>139</v>
      </c>
      <c r="F411" s="37">
        <v>172.42</v>
      </c>
      <c r="G411" s="20" t="s">
        <v>1175</v>
      </c>
      <c r="H411" s="20" t="s">
        <v>92</v>
      </c>
      <c r="I411" s="20" t="s">
        <v>208</v>
      </c>
      <c r="J411" s="20" t="s">
        <v>97</v>
      </c>
      <c r="K411" s="20" t="s">
        <v>98</v>
      </c>
      <c r="L411" s="20" t="s">
        <v>45</v>
      </c>
      <c r="M411" s="20" t="s">
        <v>1176</v>
      </c>
      <c r="N411" s="20" t="s">
        <v>64</v>
      </c>
    </row>
    <row r="412" ht="60.0" customHeight="1">
      <c r="A412" s="17" t="s">
        <v>262</v>
      </c>
      <c r="B412" s="17" t="s">
        <v>55</v>
      </c>
      <c r="C412" s="17" t="s">
        <v>958</v>
      </c>
      <c r="D412" s="17" t="s">
        <v>57</v>
      </c>
      <c r="E412" s="17" t="s">
        <v>58</v>
      </c>
      <c r="F412" s="36">
        <v>69.6</v>
      </c>
      <c r="G412" s="17" t="s">
        <v>959</v>
      </c>
      <c r="H412" s="17" t="s">
        <v>958</v>
      </c>
      <c r="I412" s="17" t="s">
        <v>960</v>
      </c>
      <c r="J412" s="17" t="s">
        <v>142</v>
      </c>
      <c r="K412" s="17" t="s">
        <v>143</v>
      </c>
      <c r="L412" s="17" t="s">
        <v>45</v>
      </c>
      <c r="M412" s="17" t="s">
        <v>961</v>
      </c>
      <c r="N412" s="17" t="s">
        <v>122</v>
      </c>
    </row>
    <row r="413" ht="60.0" customHeight="1">
      <c r="A413" s="20" t="s">
        <v>262</v>
      </c>
      <c r="B413" s="20" t="s">
        <v>55</v>
      </c>
      <c r="C413" s="20" t="s">
        <v>263</v>
      </c>
      <c r="D413" s="20" t="s">
        <v>138</v>
      </c>
      <c r="E413" s="20" t="s">
        <v>139</v>
      </c>
      <c r="F413" s="37">
        <v>76.89</v>
      </c>
      <c r="G413" s="20" t="s">
        <v>264</v>
      </c>
      <c r="H413" s="20" t="s">
        <v>263</v>
      </c>
      <c r="I413" s="20" t="s">
        <v>265</v>
      </c>
      <c r="J413" s="20" t="s">
        <v>142</v>
      </c>
      <c r="K413" s="20" t="s">
        <v>166</v>
      </c>
      <c r="L413" s="20" t="s">
        <v>45</v>
      </c>
      <c r="M413" s="20" t="s">
        <v>266</v>
      </c>
      <c r="N413" s="20" t="s">
        <v>114</v>
      </c>
    </row>
    <row r="414" ht="60.0" customHeight="1">
      <c r="A414" s="17" t="s">
        <v>123</v>
      </c>
      <c r="B414" s="17" t="s">
        <v>55</v>
      </c>
      <c r="C414" s="17" t="s">
        <v>521</v>
      </c>
      <c r="D414" s="17" t="s">
        <v>149</v>
      </c>
      <c r="E414" s="17" t="s">
        <v>150</v>
      </c>
      <c r="F414" s="36">
        <v>5.64</v>
      </c>
      <c r="G414" s="17" t="s">
        <v>522</v>
      </c>
      <c r="H414" s="17" t="s">
        <v>521</v>
      </c>
      <c r="I414" s="17" t="s">
        <v>523</v>
      </c>
      <c r="J414" s="17" t="s">
        <v>524</v>
      </c>
      <c r="K414" s="17" t="s">
        <v>525</v>
      </c>
      <c r="L414" s="17" t="s">
        <v>45</v>
      </c>
      <c r="M414" s="17" t="s">
        <v>526</v>
      </c>
      <c r="N414" s="17" t="s">
        <v>64</v>
      </c>
    </row>
    <row r="415" ht="60.0" customHeight="1">
      <c r="A415" s="20" t="s">
        <v>123</v>
      </c>
      <c r="B415" s="20" t="s">
        <v>55</v>
      </c>
      <c r="C415" s="20" t="s">
        <v>92</v>
      </c>
      <c r="D415" s="20" t="s">
        <v>93</v>
      </c>
      <c r="E415" s="20" t="s">
        <v>94</v>
      </c>
      <c r="F415" s="37">
        <v>10.49</v>
      </c>
      <c r="G415" s="20" t="s">
        <v>124</v>
      </c>
      <c r="H415" s="20" t="s">
        <v>92</v>
      </c>
      <c r="I415" s="20" t="s">
        <v>96</v>
      </c>
      <c r="J415" s="20" t="s">
        <v>97</v>
      </c>
      <c r="K415" s="20" t="s">
        <v>98</v>
      </c>
      <c r="L415" s="20" t="s">
        <v>45</v>
      </c>
      <c r="M415" s="20" t="s">
        <v>125</v>
      </c>
      <c r="N415" s="20" t="s">
        <v>64</v>
      </c>
    </row>
    <row r="416" ht="60.0" customHeight="1">
      <c r="A416" s="17" t="s">
        <v>123</v>
      </c>
      <c r="B416" s="17" t="s">
        <v>55</v>
      </c>
      <c r="C416" s="17" t="s">
        <v>92</v>
      </c>
      <c r="D416" s="17" t="s">
        <v>138</v>
      </c>
      <c r="E416" s="17" t="s">
        <v>139</v>
      </c>
      <c r="F416" s="36">
        <v>41.36</v>
      </c>
      <c r="G416" s="17" t="s">
        <v>827</v>
      </c>
      <c r="H416" s="17" t="s">
        <v>92</v>
      </c>
      <c r="I416" s="17" t="s">
        <v>208</v>
      </c>
      <c r="J416" s="17" t="s">
        <v>97</v>
      </c>
      <c r="K416" s="17" t="s">
        <v>98</v>
      </c>
      <c r="L416" s="17" t="s">
        <v>45</v>
      </c>
      <c r="M416" s="17" t="s">
        <v>828</v>
      </c>
      <c r="N416" s="17" t="s">
        <v>64</v>
      </c>
    </row>
    <row r="417" ht="60.0" customHeight="1">
      <c r="A417" s="20" t="s">
        <v>123</v>
      </c>
      <c r="B417" s="20" t="s">
        <v>55</v>
      </c>
      <c r="C417" s="20" t="s">
        <v>92</v>
      </c>
      <c r="D417" s="20" t="s">
        <v>93</v>
      </c>
      <c r="E417" s="20" t="s">
        <v>94</v>
      </c>
      <c r="F417" s="37">
        <v>173.83</v>
      </c>
      <c r="G417" s="20" t="s">
        <v>1189</v>
      </c>
      <c r="H417" s="20" t="s">
        <v>92</v>
      </c>
      <c r="I417" s="20" t="s">
        <v>208</v>
      </c>
      <c r="J417" s="20" t="s">
        <v>97</v>
      </c>
      <c r="K417" s="20" t="s">
        <v>98</v>
      </c>
      <c r="L417" s="20" t="s">
        <v>45</v>
      </c>
      <c r="M417" s="20" t="s">
        <v>1190</v>
      </c>
      <c r="N417" s="20" t="s">
        <v>64</v>
      </c>
    </row>
    <row r="418" ht="60.0" customHeight="1">
      <c r="A418" s="17" t="s">
        <v>123</v>
      </c>
      <c r="B418" s="17" t="s">
        <v>55</v>
      </c>
      <c r="C418" s="17" t="s">
        <v>126</v>
      </c>
      <c r="D418" s="17" t="s">
        <v>127</v>
      </c>
      <c r="E418" s="17" t="s">
        <v>128</v>
      </c>
      <c r="F418" s="36">
        <v>13.66</v>
      </c>
      <c r="G418" s="17" t="s">
        <v>129</v>
      </c>
      <c r="H418" s="17" t="s">
        <v>126</v>
      </c>
      <c r="I418" s="17" t="s">
        <v>96</v>
      </c>
      <c r="J418" s="17" t="s">
        <v>97</v>
      </c>
      <c r="K418" s="17" t="s">
        <v>98</v>
      </c>
      <c r="L418" s="17" t="s">
        <v>45</v>
      </c>
      <c r="M418" s="17" t="s">
        <v>130</v>
      </c>
      <c r="N418" s="17" t="s">
        <v>64</v>
      </c>
    </row>
    <row r="419" ht="60.0" customHeight="1">
      <c r="A419" s="20" t="s">
        <v>123</v>
      </c>
      <c r="B419" s="20" t="s">
        <v>55</v>
      </c>
      <c r="C419" s="20" t="s">
        <v>126</v>
      </c>
      <c r="D419" s="20" t="s">
        <v>127</v>
      </c>
      <c r="E419" s="20" t="s">
        <v>128</v>
      </c>
      <c r="F419" s="37">
        <v>39.86</v>
      </c>
      <c r="G419" s="20" t="s">
        <v>207</v>
      </c>
      <c r="H419" s="20" t="s">
        <v>126</v>
      </c>
      <c r="I419" s="20" t="s">
        <v>208</v>
      </c>
      <c r="J419" s="20" t="s">
        <v>97</v>
      </c>
      <c r="K419" s="20" t="s">
        <v>98</v>
      </c>
      <c r="L419" s="20" t="s">
        <v>45</v>
      </c>
      <c r="M419" s="20" t="s">
        <v>209</v>
      </c>
      <c r="N419" s="20" t="s">
        <v>64</v>
      </c>
    </row>
    <row r="420" ht="60.0" customHeight="1">
      <c r="A420" s="17" t="s">
        <v>123</v>
      </c>
      <c r="B420" s="17" t="s">
        <v>55</v>
      </c>
      <c r="C420" s="17" t="s">
        <v>964</v>
      </c>
      <c r="D420" s="17" t="s">
        <v>93</v>
      </c>
      <c r="E420" s="17" t="s">
        <v>94</v>
      </c>
      <c r="F420" s="36">
        <v>70.84</v>
      </c>
      <c r="G420" s="17" t="s">
        <v>965</v>
      </c>
      <c r="H420" s="17" t="s">
        <v>964</v>
      </c>
      <c r="I420" s="17" t="s">
        <v>966</v>
      </c>
      <c r="J420" s="17" t="s">
        <v>142</v>
      </c>
      <c r="K420" s="17" t="s">
        <v>180</v>
      </c>
      <c r="L420" s="17" t="s">
        <v>45</v>
      </c>
      <c r="M420" s="17" t="s">
        <v>967</v>
      </c>
      <c r="N420" s="17" t="s">
        <v>122</v>
      </c>
    </row>
    <row r="421" ht="60.0" customHeight="1">
      <c r="A421" s="20" t="s">
        <v>123</v>
      </c>
      <c r="B421" s="20" t="s">
        <v>55</v>
      </c>
      <c r="C421" s="20" t="s">
        <v>1345</v>
      </c>
      <c r="D421" s="20" t="s">
        <v>93</v>
      </c>
      <c r="E421" s="20" t="s">
        <v>94</v>
      </c>
      <c r="F421" s="37">
        <v>442.01</v>
      </c>
      <c r="G421" s="20" t="s">
        <v>1346</v>
      </c>
      <c r="H421" s="20" t="s">
        <v>1345</v>
      </c>
      <c r="I421" s="20" t="s">
        <v>1347</v>
      </c>
      <c r="J421" s="20" t="s">
        <v>142</v>
      </c>
      <c r="K421" s="20" t="s">
        <v>180</v>
      </c>
      <c r="L421" s="20" t="s">
        <v>45</v>
      </c>
      <c r="M421" s="20" t="s">
        <v>1348</v>
      </c>
      <c r="N421" s="20" t="s">
        <v>1349</v>
      </c>
    </row>
    <row r="422" ht="60.0" customHeight="1">
      <c r="A422" s="17" t="s">
        <v>123</v>
      </c>
      <c r="B422" s="17" t="s">
        <v>55</v>
      </c>
      <c r="C422" s="17" t="s">
        <v>445</v>
      </c>
      <c r="D422" s="17" t="s">
        <v>127</v>
      </c>
      <c r="E422" s="17" t="s">
        <v>128</v>
      </c>
      <c r="F422" s="36">
        <v>307.25</v>
      </c>
      <c r="G422" s="17" t="s">
        <v>446</v>
      </c>
      <c r="H422" s="17" t="s">
        <v>445</v>
      </c>
      <c r="I422" s="17" t="s">
        <v>447</v>
      </c>
      <c r="J422" s="17" t="s">
        <v>142</v>
      </c>
      <c r="K422" s="17" t="s">
        <v>143</v>
      </c>
      <c r="L422" s="17" t="s">
        <v>45</v>
      </c>
      <c r="M422" s="17" t="s">
        <v>448</v>
      </c>
      <c r="N422" s="17" t="s">
        <v>182</v>
      </c>
    </row>
    <row r="423" ht="60.0" customHeight="1">
      <c r="A423" s="20" t="s">
        <v>100</v>
      </c>
      <c r="B423" s="20" t="s">
        <v>55</v>
      </c>
      <c r="C423" s="20" t="s">
        <v>157</v>
      </c>
      <c r="D423" s="20" t="s">
        <v>39</v>
      </c>
      <c r="E423" s="20" t="s">
        <v>40</v>
      </c>
      <c r="F423" s="37">
        <v>145.06</v>
      </c>
      <c r="G423" s="20" t="s">
        <v>1128</v>
      </c>
      <c r="H423" s="20" t="s">
        <v>159</v>
      </c>
      <c r="I423" s="20" t="s">
        <v>86</v>
      </c>
      <c r="J423" s="20" t="s">
        <v>87</v>
      </c>
      <c r="K423" s="20" t="s">
        <v>88</v>
      </c>
      <c r="L423" s="20" t="s">
        <v>45</v>
      </c>
      <c r="M423" s="20" t="s">
        <v>1129</v>
      </c>
      <c r="N423" s="20" t="s">
        <v>90</v>
      </c>
    </row>
    <row r="424" ht="60.0" customHeight="1">
      <c r="A424" s="17" t="s">
        <v>100</v>
      </c>
      <c r="B424" s="17" t="s">
        <v>55</v>
      </c>
      <c r="C424" s="17" t="s">
        <v>374</v>
      </c>
      <c r="D424" s="17" t="s">
        <v>138</v>
      </c>
      <c r="E424" s="17" t="s">
        <v>139</v>
      </c>
      <c r="F424" s="36">
        <v>109.46</v>
      </c>
      <c r="G424" s="17" t="s">
        <v>1081</v>
      </c>
      <c r="H424" s="17" t="s">
        <v>374</v>
      </c>
      <c r="I424" s="17" t="s">
        <v>376</v>
      </c>
      <c r="J424" s="17" t="s">
        <v>142</v>
      </c>
      <c r="K424" s="17" t="s">
        <v>166</v>
      </c>
      <c r="L424" s="17" t="s">
        <v>45</v>
      </c>
      <c r="M424" s="17" t="s">
        <v>1082</v>
      </c>
      <c r="N424" s="17" t="s">
        <v>74</v>
      </c>
    </row>
    <row r="425" ht="60.0" customHeight="1">
      <c r="A425" s="20" t="s">
        <v>100</v>
      </c>
      <c r="B425" s="20" t="s">
        <v>55</v>
      </c>
      <c r="C425" s="20" t="s">
        <v>101</v>
      </c>
      <c r="D425" s="20" t="s">
        <v>67</v>
      </c>
      <c r="E425" s="20" t="s">
        <v>68</v>
      </c>
      <c r="F425" s="37">
        <v>7.83</v>
      </c>
      <c r="G425" s="20" t="s">
        <v>102</v>
      </c>
      <c r="H425" s="20" t="s">
        <v>101</v>
      </c>
      <c r="I425" s="20" t="s">
        <v>103</v>
      </c>
      <c r="J425" s="20" t="s">
        <v>104</v>
      </c>
      <c r="K425" s="20" t="s">
        <v>105</v>
      </c>
      <c r="L425" s="20" t="s">
        <v>45</v>
      </c>
      <c r="M425" s="20" t="s">
        <v>106</v>
      </c>
      <c r="N425" s="20" t="s">
        <v>107</v>
      </c>
    </row>
    <row r="426" ht="60.0" customHeight="1">
      <c r="A426" s="17" t="s">
        <v>100</v>
      </c>
      <c r="B426" s="17" t="s">
        <v>55</v>
      </c>
      <c r="C426" s="17" t="s">
        <v>271</v>
      </c>
      <c r="D426" s="17" t="s">
        <v>57</v>
      </c>
      <c r="E426" s="17" t="s">
        <v>58</v>
      </c>
      <c r="F426" s="36">
        <v>89.84</v>
      </c>
      <c r="G426" s="17" t="s">
        <v>272</v>
      </c>
      <c r="H426" s="17" t="s">
        <v>271</v>
      </c>
      <c r="I426" s="17" t="s">
        <v>273</v>
      </c>
      <c r="J426" s="17" t="s">
        <v>142</v>
      </c>
      <c r="K426" s="17" t="s">
        <v>274</v>
      </c>
      <c r="L426" s="17" t="s">
        <v>45</v>
      </c>
      <c r="M426" s="17" t="s">
        <v>275</v>
      </c>
      <c r="N426" s="17" t="s">
        <v>122</v>
      </c>
    </row>
    <row r="427" ht="60.0" customHeight="1">
      <c r="A427" s="20" t="s">
        <v>100</v>
      </c>
      <c r="B427" s="20" t="s">
        <v>55</v>
      </c>
      <c r="C427" s="20" t="s">
        <v>389</v>
      </c>
      <c r="D427" s="20" t="s">
        <v>57</v>
      </c>
      <c r="E427" s="20" t="s">
        <v>58</v>
      </c>
      <c r="F427" s="37">
        <v>170.05</v>
      </c>
      <c r="G427" s="20" t="s">
        <v>390</v>
      </c>
      <c r="H427" s="20" t="s">
        <v>389</v>
      </c>
      <c r="I427" s="20" t="s">
        <v>391</v>
      </c>
      <c r="J427" s="20" t="s">
        <v>142</v>
      </c>
      <c r="K427" s="20" t="s">
        <v>213</v>
      </c>
      <c r="L427" s="20" t="s">
        <v>45</v>
      </c>
      <c r="M427" s="20" t="s">
        <v>392</v>
      </c>
      <c r="N427" s="20" t="s">
        <v>122</v>
      </c>
    </row>
    <row r="428" ht="60.0" customHeight="1">
      <c r="A428" s="17" t="s">
        <v>1406</v>
      </c>
      <c r="B428" s="17" t="s">
        <v>55</v>
      </c>
      <c r="C428" s="17" t="s">
        <v>1407</v>
      </c>
      <c r="D428" s="17" t="s">
        <v>39</v>
      </c>
      <c r="E428" s="17" t="s">
        <v>40</v>
      </c>
      <c r="F428" s="36">
        <v>125.25</v>
      </c>
      <c r="G428" s="17" t="s">
        <v>1408</v>
      </c>
      <c r="H428" s="17" t="s">
        <v>1407</v>
      </c>
      <c r="I428" s="17" t="s">
        <v>1409</v>
      </c>
      <c r="J428" s="17" t="s">
        <v>119</v>
      </c>
      <c r="K428" s="17" t="s">
        <v>1410</v>
      </c>
      <c r="L428" s="17" t="s">
        <v>45</v>
      </c>
      <c r="M428" s="17" t="s">
        <v>1411</v>
      </c>
      <c r="N428" s="17" t="s">
        <v>174</v>
      </c>
    </row>
    <row r="429" ht="60.0" customHeight="1">
      <c r="A429" s="20" t="s">
        <v>1406</v>
      </c>
      <c r="B429" s="20" t="s">
        <v>55</v>
      </c>
      <c r="C429" s="20" t="s">
        <v>1396</v>
      </c>
      <c r="D429" s="20" t="s">
        <v>67</v>
      </c>
      <c r="E429" s="20" t="s">
        <v>68</v>
      </c>
      <c r="F429" s="37">
        <v>-4.13</v>
      </c>
      <c r="G429" s="20" t="s">
        <v>1412</v>
      </c>
      <c r="H429" s="20" t="s">
        <v>1396</v>
      </c>
      <c r="I429" s="20" t="s">
        <v>285</v>
      </c>
      <c r="J429" s="20" t="s">
        <v>71</v>
      </c>
      <c r="K429" s="20" t="s">
        <v>249</v>
      </c>
      <c r="L429" s="20" t="s">
        <v>45</v>
      </c>
      <c r="M429" s="20" t="s">
        <v>1413</v>
      </c>
      <c r="N429" s="20" t="s">
        <v>287</v>
      </c>
    </row>
    <row r="430" ht="60.0" customHeight="1">
      <c r="A430" s="17" t="s">
        <v>1406</v>
      </c>
      <c r="B430" s="17" t="s">
        <v>55</v>
      </c>
      <c r="C430" s="17" t="s">
        <v>1396</v>
      </c>
      <c r="D430" s="17" t="s">
        <v>67</v>
      </c>
      <c r="E430" s="17" t="s">
        <v>68</v>
      </c>
      <c r="F430" s="36">
        <v>1215.19</v>
      </c>
      <c r="G430" s="17" t="s">
        <v>1414</v>
      </c>
      <c r="H430" s="17" t="s">
        <v>1396</v>
      </c>
      <c r="I430" s="17" t="s">
        <v>285</v>
      </c>
      <c r="J430" s="17" t="s">
        <v>71</v>
      </c>
      <c r="K430" s="17" t="s">
        <v>249</v>
      </c>
      <c r="L430" s="17" t="s">
        <v>45</v>
      </c>
      <c r="M430" s="17" t="s">
        <v>1415</v>
      </c>
      <c r="N430" s="17" t="s">
        <v>287</v>
      </c>
    </row>
    <row r="431" ht="60.0" customHeight="1">
      <c r="A431" s="20" t="s">
        <v>1406</v>
      </c>
      <c r="B431" s="20" t="s">
        <v>55</v>
      </c>
      <c r="C431" s="20" t="s">
        <v>1399</v>
      </c>
      <c r="D431" s="20" t="s">
        <v>67</v>
      </c>
      <c r="E431" s="20" t="s">
        <v>68</v>
      </c>
      <c r="F431" s="37">
        <v>1220.46</v>
      </c>
      <c r="G431" s="20" t="s">
        <v>1416</v>
      </c>
      <c r="H431" s="20" t="s">
        <v>1399</v>
      </c>
      <c r="I431" s="20" t="s">
        <v>285</v>
      </c>
      <c r="J431" s="20" t="s">
        <v>71</v>
      </c>
      <c r="K431" s="20" t="s">
        <v>249</v>
      </c>
      <c r="L431" s="20" t="s">
        <v>45</v>
      </c>
      <c r="M431" s="20" t="s">
        <v>1417</v>
      </c>
      <c r="N431" s="20" t="s">
        <v>287</v>
      </c>
    </row>
    <row r="432" ht="60.0" customHeight="1">
      <c r="A432" s="17" t="s">
        <v>1406</v>
      </c>
      <c r="B432" s="17" t="s">
        <v>55</v>
      </c>
      <c r="C432" s="17" t="s">
        <v>157</v>
      </c>
      <c r="D432" s="17" t="s">
        <v>353</v>
      </c>
      <c r="E432" s="17" t="s">
        <v>354</v>
      </c>
      <c r="F432" s="36">
        <v>221.94</v>
      </c>
      <c r="G432" s="17" t="s">
        <v>1418</v>
      </c>
      <c r="H432" s="17" t="s">
        <v>159</v>
      </c>
      <c r="I432" s="17" t="s">
        <v>86</v>
      </c>
      <c r="J432" s="17" t="s">
        <v>87</v>
      </c>
      <c r="K432" s="17" t="s">
        <v>88</v>
      </c>
      <c r="L432" s="17" t="s">
        <v>45</v>
      </c>
      <c r="M432" s="17" t="s">
        <v>1419</v>
      </c>
      <c r="N432" s="17" t="s">
        <v>90</v>
      </c>
    </row>
    <row r="433" ht="60.0" customHeight="1">
      <c r="A433" s="20" t="s">
        <v>1406</v>
      </c>
      <c r="B433" s="20" t="s">
        <v>55</v>
      </c>
      <c r="C433" s="20" t="s">
        <v>700</v>
      </c>
      <c r="D433" s="20" t="s">
        <v>57</v>
      </c>
      <c r="E433" s="20" t="s">
        <v>58</v>
      </c>
      <c r="F433" s="37">
        <v>107.81</v>
      </c>
      <c r="G433" s="20" t="s">
        <v>1420</v>
      </c>
      <c r="H433" s="20" t="s">
        <v>700</v>
      </c>
      <c r="I433" s="20" t="s">
        <v>702</v>
      </c>
      <c r="J433" s="20" t="s">
        <v>71</v>
      </c>
      <c r="K433" s="20" t="s">
        <v>112</v>
      </c>
      <c r="L433" s="20" t="s">
        <v>45</v>
      </c>
      <c r="M433" s="20" t="s">
        <v>1421</v>
      </c>
      <c r="N433" s="20" t="s">
        <v>114</v>
      </c>
    </row>
    <row r="434" ht="60.0" customHeight="1">
      <c r="A434" s="17" t="s">
        <v>1406</v>
      </c>
      <c r="B434" s="17" t="s">
        <v>55</v>
      </c>
      <c r="C434" s="17" t="s">
        <v>1422</v>
      </c>
      <c r="D434" s="17" t="s">
        <v>149</v>
      </c>
      <c r="E434" s="17" t="s">
        <v>150</v>
      </c>
      <c r="F434" s="36">
        <v>322.4</v>
      </c>
      <c r="G434" s="17" t="s">
        <v>1423</v>
      </c>
      <c r="H434" s="17" t="s">
        <v>1422</v>
      </c>
      <c r="I434" s="17" t="s">
        <v>1424</v>
      </c>
      <c r="J434" s="17" t="s">
        <v>142</v>
      </c>
      <c r="K434" s="17" t="s">
        <v>143</v>
      </c>
      <c r="L434" s="17" t="s">
        <v>45</v>
      </c>
      <c r="M434" s="17" t="s">
        <v>1425</v>
      </c>
      <c r="N434" s="17" t="s">
        <v>122</v>
      </c>
    </row>
    <row r="435" ht="60.0" customHeight="1">
      <c r="A435" s="20" t="s">
        <v>1406</v>
      </c>
      <c r="B435" s="20" t="s">
        <v>55</v>
      </c>
      <c r="C435" s="20" t="s">
        <v>92</v>
      </c>
      <c r="D435" s="20" t="s">
        <v>138</v>
      </c>
      <c r="E435" s="20" t="s">
        <v>139</v>
      </c>
      <c r="F435" s="37">
        <v>172.37</v>
      </c>
      <c r="G435" s="20" t="s">
        <v>1426</v>
      </c>
      <c r="H435" s="20" t="s">
        <v>92</v>
      </c>
      <c r="I435" s="20" t="s">
        <v>208</v>
      </c>
      <c r="J435" s="20" t="s">
        <v>97</v>
      </c>
      <c r="K435" s="20" t="s">
        <v>98</v>
      </c>
      <c r="L435" s="20" t="s">
        <v>45</v>
      </c>
      <c r="M435" s="20" t="s">
        <v>1427</v>
      </c>
      <c r="N435" s="20" t="s">
        <v>64</v>
      </c>
    </row>
    <row r="436" ht="60.0" customHeight="1">
      <c r="A436" s="17" t="s">
        <v>1406</v>
      </c>
      <c r="B436" s="17" t="s">
        <v>55</v>
      </c>
      <c r="C436" s="17" t="s">
        <v>476</v>
      </c>
      <c r="D436" s="17" t="s">
        <v>149</v>
      </c>
      <c r="E436" s="17" t="s">
        <v>150</v>
      </c>
      <c r="F436" s="36">
        <v>283.46</v>
      </c>
      <c r="G436" s="17" t="s">
        <v>1428</v>
      </c>
      <c r="H436" s="17" t="s">
        <v>476</v>
      </c>
      <c r="I436" s="17" t="s">
        <v>478</v>
      </c>
      <c r="J436" s="17" t="s">
        <v>142</v>
      </c>
      <c r="K436" s="17" t="s">
        <v>479</v>
      </c>
      <c r="L436" s="17" t="s">
        <v>45</v>
      </c>
      <c r="M436" s="17" t="s">
        <v>1429</v>
      </c>
      <c r="N436" s="17" t="s">
        <v>308</v>
      </c>
    </row>
    <row r="437" ht="60.0" customHeight="1">
      <c r="A437" s="20" t="s">
        <v>1406</v>
      </c>
      <c r="B437" s="20" t="s">
        <v>55</v>
      </c>
      <c r="C437" s="20" t="s">
        <v>476</v>
      </c>
      <c r="D437" s="20" t="s">
        <v>149</v>
      </c>
      <c r="E437" s="20" t="s">
        <v>150</v>
      </c>
      <c r="F437" s="37">
        <v>283.46</v>
      </c>
      <c r="G437" s="20" t="s">
        <v>1430</v>
      </c>
      <c r="H437" s="20" t="s">
        <v>476</v>
      </c>
      <c r="I437" s="20" t="s">
        <v>478</v>
      </c>
      <c r="J437" s="20" t="s">
        <v>142</v>
      </c>
      <c r="K437" s="20" t="s">
        <v>479</v>
      </c>
      <c r="L437" s="20" t="s">
        <v>45</v>
      </c>
      <c r="M437" s="20" t="s">
        <v>1431</v>
      </c>
      <c r="N437" s="20" t="s">
        <v>308</v>
      </c>
    </row>
    <row r="438" ht="60.0" customHeight="1">
      <c r="A438" s="17" t="s">
        <v>1406</v>
      </c>
      <c r="B438" s="17" t="s">
        <v>55</v>
      </c>
      <c r="C438" s="17" t="s">
        <v>476</v>
      </c>
      <c r="D438" s="17" t="s">
        <v>149</v>
      </c>
      <c r="E438" s="17" t="s">
        <v>150</v>
      </c>
      <c r="F438" s="36">
        <v>283.46</v>
      </c>
      <c r="G438" s="17" t="s">
        <v>1432</v>
      </c>
      <c r="H438" s="17" t="s">
        <v>476</v>
      </c>
      <c r="I438" s="17" t="s">
        <v>478</v>
      </c>
      <c r="J438" s="17" t="s">
        <v>142</v>
      </c>
      <c r="K438" s="17" t="s">
        <v>479</v>
      </c>
      <c r="L438" s="17" t="s">
        <v>45</v>
      </c>
      <c r="M438" s="17" t="s">
        <v>1433</v>
      </c>
      <c r="N438" s="17" t="s">
        <v>308</v>
      </c>
    </row>
    <row r="439" ht="60.0" customHeight="1">
      <c r="A439" s="20" t="s">
        <v>1406</v>
      </c>
      <c r="B439" s="20" t="s">
        <v>55</v>
      </c>
      <c r="C439" s="20" t="s">
        <v>1434</v>
      </c>
      <c r="D439" s="20" t="s">
        <v>39</v>
      </c>
      <c r="E439" s="20" t="s">
        <v>40</v>
      </c>
      <c r="F439" s="37">
        <v>141.24</v>
      </c>
      <c r="G439" s="20" t="s">
        <v>1435</v>
      </c>
      <c r="H439" s="20" t="s">
        <v>1434</v>
      </c>
      <c r="I439" s="20" t="s">
        <v>1436</v>
      </c>
      <c r="J439" s="20" t="s">
        <v>119</v>
      </c>
      <c r="K439" s="20" t="s">
        <v>1437</v>
      </c>
      <c r="L439" s="20" t="s">
        <v>45</v>
      </c>
      <c r="M439" s="20" t="s">
        <v>1438</v>
      </c>
      <c r="N439" s="20" t="s">
        <v>423</v>
      </c>
    </row>
    <row r="440" ht="60.0" customHeight="1">
      <c r="A440" s="17" t="s">
        <v>1406</v>
      </c>
      <c r="B440" s="17" t="s">
        <v>55</v>
      </c>
      <c r="C440" s="17" t="s">
        <v>554</v>
      </c>
      <c r="D440" s="17" t="s">
        <v>353</v>
      </c>
      <c r="E440" s="17" t="s">
        <v>354</v>
      </c>
      <c r="F440" s="36">
        <v>22.45</v>
      </c>
      <c r="G440" s="17" t="s">
        <v>1439</v>
      </c>
      <c r="H440" s="17" t="s">
        <v>554</v>
      </c>
      <c r="I440" s="17" t="s">
        <v>188</v>
      </c>
      <c r="J440" s="17" t="s">
        <v>189</v>
      </c>
      <c r="K440" s="17" t="s">
        <v>190</v>
      </c>
      <c r="L440" s="17" t="s">
        <v>45</v>
      </c>
      <c r="M440" s="17" t="s">
        <v>1440</v>
      </c>
      <c r="N440" s="17" t="s">
        <v>64</v>
      </c>
    </row>
    <row r="441" ht="60.0" customHeight="1">
      <c r="A441" s="20" t="s">
        <v>1406</v>
      </c>
      <c r="B441" s="20" t="s">
        <v>55</v>
      </c>
      <c r="C441" s="20" t="s">
        <v>554</v>
      </c>
      <c r="D441" s="20" t="s">
        <v>353</v>
      </c>
      <c r="E441" s="20" t="s">
        <v>354</v>
      </c>
      <c r="F441" s="37">
        <v>93.85</v>
      </c>
      <c r="G441" s="20" t="s">
        <v>1441</v>
      </c>
      <c r="H441" s="20" t="s">
        <v>554</v>
      </c>
      <c r="I441" s="20" t="s">
        <v>188</v>
      </c>
      <c r="J441" s="20" t="s">
        <v>189</v>
      </c>
      <c r="K441" s="20" t="s">
        <v>190</v>
      </c>
      <c r="L441" s="20" t="s">
        <v>45</v>
      </c>
      <c r="M441" s="20" t="s">
        <v>1442</v>
      </c>
      <c r="N441" s="20" t="s">
        <v>64</v>
      </c>
    </row>
    <row r="442" ht="60.0" customHeight="1">
      <c r="A442" s="17" t="s">
        <v>1406</v>
      </c>
      <c r="B442" s="17" t="s">
        <v>55</v>
      </c>
      <c r="C442" s="17" t="s">
        <v>554</v>
      </c>
      <c r="D442" s="17" t="s">
        <v>353</v>
      </c>
      <c r="E442" s="17" t="s">
        <v>354</v>
      </c>
      <c r="F442" s="36">
        <v>100.0</v>
      </c>
      <c r="G442" s="17" t="s">
        <v>1443</v>
      </c>
      <c r="H442" s="17" t="s">
        <v>554</v>
      </c>
      <c r="I442" s="17" t="s">
        <v>188</v>
      </c>
      <c r="J442" s="17" t="s">
        <v>189</v>
      </c>
      <c r="K442" s="17" t="s">
        <v>190</v>
      </c>
      <c r="L442" s="17" t="s">
        <v>45</v>
      </c>
      <c r="M442" s="17" t="s">
        <v>1444</v>
      </c>
      <c r="N442" s="17" t="s">
        <v>64</v>
      </c>
    </row>
    <row r="443" ht="60.0" customHeight="1">
      <c r="A443" s="20" t="s">
        <v>1406</v>
      </c>
      <c r="B443" s="20" t="s">
        <v>55</v>
      </c>
      <c r="C443" s="20" t="s">
        <v>1445</v>
      </c>
      <c r="D443" s="20" t="s">
        <v>39</v>
      </c>
      <c r="E443" s="20" t="s">
        <v>40</v>
      </c>
      <c r="F443" s="37">
        <v>1150.49</v>
      </c>
      <c r="G443" s="20" t="s">
        <v>1446</v>
      </c>
      <c r="H443" s="20" t="s">
        <v>1445</v>
      </c>
      <c r="I443" s="20" t="s">
        <v>1447</v>
      </c>
      <c r="J443" s="20" t="s">
        <v>320</v>
      </c>
      <c r="K443" s="20" t="s">
        <v>321</v>
      </c>
      <c r="L443" s="20" t="s">
        <v>45</v>
      </c>
      <c r="M443" s="20" t="s">
        <v>1448</v>
      </c>
      <c r="N443" s="20" t="s">
        <v>1144</v>
      </c>
    </row>
    <row r="444" ht="60.0" customHeight="1">
      <c r="A444" s="17" t="s">
        <v>1406</v>
      </c>
      <c r="B444" s="17" t="s">
        <v>55</v>
      </c>
      <c r="C444" s="17" t="s">
        <v>424</v>
      </c>
      <c r="D444" s="17" t="s">
        <v>149</v>
      </c>
      <c r="E444" s="17" t="s">
        <v>150</v>
      </c>
      <c r="F444" s="36">
        <v>28.69</v>
      </c>
      <c r="G444" s="17" t="s">
        <v>1449</v>
      </c>
      <c r="H444" s="17" t="s">
        <v>424</v>
      </c>
      <c r="I444" s="17" t="s">
        <v>426</v>
      </c>
      <c r="J444" s="17" t="s">
        <v>427</v>
      </c>
      <c r="K444" s="17" t="s">
        <v>428</v>
      </c>
      <c r="L444" s="17" t="s">
        <v>45</v>
      </c>
      <c r="M444" s="17" t="s">
        <v>1450</v>
      </c>
      <c r="N444" s="17" t="s">
        <v>64</v>
      </c>
    </row>
    <row r="445" ht="60.0" customHeight="1">
      <c r="A445" s="20" t="s">
        <v>1406</v>
      </c>
      <c r="B445" s="20" t="s">
        <v>55</v>
      </c>
      <c r="C445" s="20" t="s">
        <v>424</v>
      </c>
      <c r="D445" s="20" t="s">
        <v>149</v>
      </c>
      <c r="E445" s="20" t="s">
        <v>150</v>
      </c>
      <c r="F445" s="37">
        <v>205.3</v>
      </c>
      <c r="G445" s="20" t="s">
        <v>1451</v>
      </c>
      <c r="H445" s="20" t="s">
        <v>424</v>
      </c>
      <c r="I445" s="20" t="s">
        <v>426</v>
      </c>
      <c r="J445" s="20" t="s">
        <v>427</v>
      </c>
      <c r="K445" s="20" t="s">
        <v>428</v>
      </c>
      <c r="L445" s="20" t="s">
        <v>45</v>
      </c>
      <c r="M445" s="20" t="s">
        <v>1452</v>
      </c>
      <c r="N445" s="20" t="s">
        <v>64</v>
      </c>
    </row>
    <row r="446" ht="60.0" customHeight="1">
      <c r="A446" s="17" t="s">
        <v>1406</v>
      </c>
      <c r="B446" s="17" t="s">
        <v>55</v>
      </c>
      <c r="C446" s="17" t="s">
        <v>1453</v>
      </c>
      <c r="D446" s="17" t="s">
        <v>39</v>
      </c>
      <c r="E446" s="17" t="s">
        <v>40</v>
      </c>
      <c r="F446" s="36">
        <v>123.78</v>
      </c>
      <c r="G446" s="17" t="s">
        <v>1454</v>
      </c>
      <c r="H446" s="17" t="s">
        <v>1453</v>
      </c>
      <c r="I446" s="17" t="s">
        <v>1455</v>
      </c>
      <c r="J446" s="17" t="s">
        <v>119</v>
      </c>
      <c r="K446" s="17" t="s">
        <v>120</v>
      </c>
      <c r="L446" s="17" t="s">
        <v>45</v>
      </c>
      <c r="M446" s="17" t="s">
        <v>1456</v>
      </c>
      <c r="N446" s="17" t="s">
        <v>64</v>
      </c>
    </row>
    <row r="447" ht="60.0" customHeight="1">
      <c r="A447" s="20" t="s">
        <v>1457</v>
      </c>
      <c r="B447" s="20" t="s">
        <v>55</v>
      </c>
      <c r="C447" s="20" t="s">
        <v>1458</v>
      </c>
      <c r="D447" s="20" t="s">
        <v>149</v>
      </c>
      <c r="E447" s="20" t="s">
        <v>150</v>
      </c>
      <c r="F447" s="37">
        <v>8.69</v>
      </c>
      <c r="G447" s="20" t="s">
        <v>1459</v>
      </c>
      <c r="H447" s="20" t="s">
        <v>1458</v>
      </c>
      <c r="I447" s="20" t="s">
        <v>1460</v>
      </c>
      <c r="J447" s="20" t="s">
        <v>280</v>
      </c>
      <c r="K447" s="20" t="s">
        <v>1461</v>
      </c>
      <c r="L447" s="20" t="s">
        <v>45</v>
      </c>
      <c r="M447" s="20" t="s">
        <v>1462</v>
      </c>
      <c r="N447" s="20" t="s">
        <v>64</v>
      </c>
    </row>
    <row r="448" ht="60.0" customHeight="1">
      <c r="A448" s="17" t="s">
        <v>1457</v>
      </c>
      <c r="B448" s="17" t="s">
        <v>55</v>
      </c>
      <c r="C448" s="17" t="s">
        <v>1458</v>
      </c>
      <c r="D448" s="17" t="s">
        <v>149</v>
      </c>
      <c r="E448" s="17" t="s">
        <v>150</v>
      </c>
      <c r="F448" s="36">
        <v>52.09</v>
      </c>
      <c r="G448" s="17" t="s">
        <v>1463</v>
      </c>
      <c r="H448" s="17" t="s">
        <v>1458</v>
      </c>
      <c r="I448" s="17" t="s">
        <v>279</v>
      </c>
      <c r="J448" s="17" t="s">
        <v>280</v>
      </c>
      <c r="K448" s="17" t="s">
        <v>281</v>
      </c>
      <c r="L448" s="17" t="s">
        <v>45</v>
      </c>
      <c r="M448" s="17" t="s">
        <v>1464</v>
      </c>
      <c r="N448" s="17" t="s">
        <v>64</v>
      </c>
    </row>
    <row r="449" ht="60.0" customHeight="1">
      <c r="A449" s="20" t="s">
        <v>1457</v>
      </c>
      <c r="B449" s="20" t="s">
        <v>55</v>
      </c>
      <c r="C449" s="20" t="s">
        <v>1338</v>
      </c>
      <c r="D449" s="20" t="s">
        <v>39</v>
      </c>
      <c r="E449" s="20" t="s">
        <v>40</v>
      </c>
      <c r="F449" s="37">
        <v>103.68</v>
      </c>
      <c r="G449" s="20" t="s">
        <v>1465</v>
      </c>
      <c r="H449" s="20" t="s">
        <v>1338</v>
      </c>
      <c r="I449" s="20" t="s">
        <v>1340</v>
      </c>
      <c r="J449" s="20" t="s">
        <v>371</v>
      </c>
      <c r="K449" s="20" t="s">
        <v>1341</v>
      </c>
      <c r="L449" s="20" t="s">
        <v>45</v>
      </c>
      <c r="M449" s="20" t="s">
        <v>1466</v>
      </c>
      <c r="N449" s="20" t="s">
        <v>308</v>
      </c>
    </row>
    <row r="450" ht="60.0" customHeight="1">
      <c r="A450" s="17" t="s">
        <v>1457</v>
      </c>
      <c r="B450" s="17" t="s">
        <v>55</v>
      </c>
      <c r="C450" s="17" t="s">
        <v>785</v>
      </c>
      <c r="D450" s="17" t="s">
        <v>39</v>
      </c>
      <c r="E450" s="17" t="s">
        <v>40</v>
      </c>
      <c r="F450" s="36">
        <v>261.53</v>
      </c>
      <c r="G450" s="17" t="s">
        <v>1467</v>
      </c>
      <c r="H450" s="17" t="s">
        <v>785</v>
      </c>
      <c r="I450" s="17" t="s">
        <v>787</v>
      </c>
      <c r="J450" s="17" t="s">
        <v>326</v>
      </c>
      <c r="K450" s="17" t="s">
        <v>563</v>
      </c>
      <c r="L450" s="17" t="s">
        <v>45</v>
      </c>
      <c r="M450" s="17" t="s">
        <v>1468</v>
      </c>
      <c r="N450" s="17" t="s">
        <v>174</v>
      </c>
    </row>
    <row r="451" ht="60.0" customHeight="1">
      <c r="A451" s="20" t="s">
        <v>1457</v>
      </c>
      <c r="B451" s="20" t="s">
        <v>55</v>
      </c>
      <c r="C451" s="20" t="s">
        <v>1469</v>
      </c>
      <c r="D451" s="20" t="s">
        <v>149</v>
      </c>
      <c r="E451" s="20" t="s">
        <v>150</v>
      </c>
      <c r="F451" s="37">
        <v>75.0</v>
      </c>
      <c r="G451" s="20" t="s">
        <v>1470</v>
      </c>
      <c r="H451" s="20" t="s">
        <v>1469</v>
      </c>
      <c r="I451" s="20" t="s">
        <v>96</v>
      </c>
      <c r="J451" s="20" t="s">
        <v>97</v>
      </c>
      <c r="K451" s="20" t="s">
        <v>98</v>
      </c>
      <c r="L451" s="20" t="s">
        <v>45</v>
      </c>
      <c r="M451" s="20" t="s">
        <v>1471</v>
      </c>
      <c r="N451" s="20" t="s">
        <v>64</v>
      </c>
    </row>
    <row r="452" ht="60.0" customHeight="1">
      <c r="A452" s="17" t="s">
        <v>1457</v>
      </c>
      <c r="B452" s="17" t="s">
        <v>55</v>
      </c>
      <c r="C452" s="17" t="s">
        <v>192</v>
      </c>
      <c r="D452" s="17" t="s">
        <v>149</v>
      </c>
      <c r="E452" s="17" t="s">
        <v>150</v>
      </c>
      <c r="F452" s="36">
        <v>33.94</v>
      </c>
      <c r="G452" s="17" t="s">
        <v>1472</v>
      </c>
      <c r="H452" s="17" t="s">
        <v>192</v>
      </c>
      <c r="I452" s="17" t="s">
        <v>194</v>
      </c>
      <c r="J452" s="17" t="s">
        <v>142</v>
      </c>
      <c r="K452" s="17" t="s">
        <v>166</v>
      </c>
      <c r="L452" s="17" t="s">
        <v>45</v>
      </c>
      <c r="M452" s="17" t="s">
        <v>1473</v>
      </c>
      <c r="N452" s="17" t="s">
        <v>114</v>
      </c>
    </row>
    <row r="453" ht="60.0" customHeight="1">
      <c r="A453" s="20" t="s">
        <v>1457</v>
      </c>
      <c r="B453" s="20" t="s">
        <v>55</v>
      </c>
      <c r="C453" s="20" t="s">
        <v>560</v>
      </c>
      <c r="D453" s="20" t="s">
        <v>39</v>
      </c>
      <c r="E453" s="20" t="s">
        <v>40</v>
      </c>
      <c r="F453" s="37">
        <v>51.75</v>
      </c>
      <c r="G453" s="20" t="s">
        <v>1474</v>
      </c>
      <c r="H453" s="20" t="s">
        <v>560</v>
      </c>
      <c r="I453" s="20" t="s">
        <v>562</v>
      </c>
      <c r="J453" s="20" t="s">
        <v>326</v>
      </c>
      <c r="K453" s="20" t="s">
        <v>563</v>
      </c>
      <c r="L453" s="20" t="s">
        <v>45</v>
      </c>
      <c r="M453" s="20" t="s">
        <v>1475</v>
      </c>
      <c r="N453" s="20" t="s">
        <v>64</v>
      </c>
    </row>
    <row r="454" ht="60.0" customHeight="1">
      <c r="A454" s="17" t="s">
        <v>1457</v>
      </c>
      <c r="B454" s="17" t="s">
        <v>55</v>
      </c>
      <c r="C454" s="17" t="s">
        <v>1476</v>
      </c>
      <c r="D454" s="17" t="s">
        <v>39</v>
      </c>
      <c r="E454" s="17" t="s">
        <v>40</v>
      </c>
      <c r="F454" s="36">
        <v>43.4</v>
      </c>
      <c r="G454" s="17" t="s">
        <v>1477</v>
      </c>
      <c r="H454" s="17" t="s">
        <v>1476</v>
      </c>
      <c r="I454" s="17" t="s">
        <v>1478</v>
      </c>
      <c r="J454" s="17" t="s">
        <v>1479</v>
      </c>
      <c r="K454" s="17" t="s">
        <v>1480</v>
      </c>
      <c r="L454" s="17" t="s">
        <v>45</v>
      </c>
      <c r="M454" s="17" t="s">
        <v>1481</v>
      </c>
      <c r="N454" s="17" t="s">
        <v>534</v>
      </c>
    </row>
    <row r="455" ht="60.0" customHeight="1">
      <c r="A455" s="20" t="s">
        <v>1457</v>
      </c>
      <c r="B455" s="20" t="s">
        <v>55</v>
      </c>
      <c r="C455" s="20" t="s">
        <v>92</v>
      </c>
      <c r="D455" s="20" t="s">
        <v>138</v>
      </c>
      <c r="E455" s="20" t="s">
        <v>139</v>
      </c>
      <c r="F455" s="37">
        <v>171.97</v>
      </c>
      <c r="G455" s="20" t="s">
        <v>1482</v>
      </c>
      <c r="H455" s="20" t="s">
        <v>92</v>
      </c>
      <c r="I455" s="20" t="s">
        <v>208</v>
      </c>
      <c r="J455" s="20" t="s">
        <v>97</v>
      </c>
      <c r="K455" s="20" t="s">
        <v>98</v>
      </c>
      <c r="L455" s="20" t="s">
        <v>45</v>
      </c>
      <c r="M455" s="20" t="s">
        <v>1483</v>
      </c>
      <c r="N455" s="20" t="s">
        <v>64</v>
      </c>
    </row>
    <row r="456" ht="60.0" customHeight="1">
      <c r="A456" s="17" t="s">
        <v>1457</v>
      </c>
      <c r="B456" s="17" t="s">
        <v>55</v>
      </c>
      <c r="C456" s="17" t="s">
        <v>1200</v>
      </c>
      <c r="D456" s="17" t="s">
        <v>39</v>
      </c>
      <c r="E456" s="17" t="s">
        <v>40</v>
      </c>
      <c r="F456" s="36">
        <v>94.0</v>
      </c>
      <c r="G456" s="17" t="s">
        <v>1484</v>
      </c>
      <c r="H456" s="17" t="s">
        <v>1200</v>
      </c>
      <c r="I456" s="17" t="s">
        <v>208</v>
      </c>
      <c r="J456" s="17" t="s">
        <v>97</v>
      </c>
      <c r="K456" s="17" t="s">
        <v>98</v>
      </c>
      <c r="L456" s="17" t="s">
        <v>45</v>
      </c>
      <c r="M456" s="17" t="s">
        <v>1485</v>
      </c>
      <c r="N456" s="17" t="s">
        <v>64</v>
      </c>
    </row>
    <row r="457" ht="60.0" customHeight="1">
      <c r="A457" s="20" t="s">
        <v>1457</v>
      </c>
      <c r="B457" s="20" t="s">
        <v>55</v>
      </c>
      <c r="C457" s="20" t="s">
        <v>833</v>
      </c>
      <c r="D457" s="20" t="s">
        <v>149</v>
      </c>
      <c r="E457" s="20" t="s">
        <v>150</v>
      </c>
      <c r="F457" s="37">
        <v>42.13</v>
      </c>
      <c r="G457" s="20" t="s">
        <v>834</v>
      </c>
      <c r="H457" s="20" t="s">
        <v>833</v>
      </c>
      <c r="I457" s="20" t="s">
        <v>835</v>
      </c>
      <c r="J457" s="20" t="s">
        <v>142</v>
      </c>
      <c r="K457" s="20" t="s">
        <v>143</v>
      </c>
      <c r="L457" s="20" t="s">
        <v>45</v>
      </c>
      <c r="M457" s="20" t="s">
        <v>1486</v>
      </c>
      <c r="N457" s="20" t="s">
        <v>74</v>
      </c>
    </row>
    <row r="458" ht="60.0" customHeight="1">
      <c r="A458" s="17" t="s">
        <v>1457</v>
      </c>
      <c r="B458" s="17" t="s">
        <v>55</v>
      </c>
      <c r="C458" s="17" t="s">
        <v>1487</v>
      </c>
      <c r="D458" s="17" t="s">
        <v>39</v>
      </c>
      <c r="E458" s="17" t="s">
        <v>40</v>
      </c>
      <c r="F458" s="36">
        <v>45.0</v>
      </c>
      <c r="G458" s="17" t="s">
        <v>1488</v>
      </c>
      <c r="H458" s="17" t="s">
        <v>1487</v>
      </c>
      <c r="I458" s="17" t="s">
        <v>1489</v>
      </c>
      <c r="J458" s="17" t="s">
        <v>371</v>
      </c>
      <c r="K458" s="17" t="s">
        <v>372</v>
      </c>
      <c r="L458" s="17" t="s">
        <v>45</v>
      </c>
      <c r="M458" s="17" t="s">
        <v>1490</v>
      </c>
      <c r="N458" s="17" t="s">
        <v>403</v>
      </c>
    </row>
    <row r="459" ht="60.0" customHeight="1">
      <c r="A459" s="20" t="s">
        <v>1457</v>
      </c>
      <c r="B459" s="20" t="s">
        <v>55</v>
      </c>
      <c r="C459" s="20" t="s">
        <v>554</v>
      </c>
      <c r="D459" s="20" t="s">
        <v>353</v>
      </c>
      <c r="E459" s="20" t="s">
        <v>354</v>
      </c>
      <c r="F459" s="37">
        <v>19.13</v>
      </c>
      <c r="G459" s="20" t="s">
        <v>1491</v>
      </c>
      <c r="H459" s="20" t="s">
        <v>554</v>
      </c>
      <c r="I459" s="20" t="s">
        <v>188</v>
      </c>
      <c r="J459" s="20" t="s">
        <v>189</v>
      </c>
      <c r="K459" s="20" t="s">
        <v>190</v>
      </c>
      <c r="L459" s="20" t="s">
        <v>45</v>
      </c>
      <c r="M459" s="20" t="s">
        <v>1492</v>
      </c>
      <c r="N459" s="20" t="s">
        <v>64</v>
      </c>
    </row>
    <row r="460" ht="60.0" customHeight="1">
      <c r="A460" s="17" t="s">
        <v>1457</v>
      </c>
      <c r="B460" s="17" t="s">
        <v>55</v>
      </c>
      <c r="C460" s="17" t="s">
        <v>554</v>
      </c>
      <c r="D460" s="17" t="s">
        <v>353</v>
      </c>
      <c r="E460" s="17" t="s">
        <v>354</v>
      </c>
      <c r="F460" s="36">
        <v>100.0</v>
      </c>
      <c r="G460" s="17" t="s">
        <v>1493</v>
      </c>
      <c r="H460" s="17" t="s">
        <v>554</v>
      </c>
      <c r="I460" s="17" t="s">
        <v>188</v>
      </c>
      <c r="J460" s="17" t="s">
        <v>189</v>
      </c>
      <c r="K460" s="17" t="s">
        <v>190</v>
      </c>
      <c r="L460" s="17" t="s">
        <v>45</v>
      </c>
      <c r="M460" s="17" t="s">
        <v>1494</v>
      </c>
      <c r="N460" s="17" t="s">
        <v>64</v>
      </c>
    </row>
    <row r="461" ht="60.0" customHeight="1">
      <c r="A461" s="20" t="s">
        <v>1457</v>
      </c>
      <c r="B461" s="20" t="s">
        <v>55</v>
      </c>
      <c r="C461" s="20" t="s">
        <v>554</v>
      </c>
      <c r="D461" s="20" t="s">
        <v>353</v>
      </c>
      <c r="E461" s="20" t="s">
        <v>354</v>
      </c>
      <c r="F461" s="37">
        <v>100.0</v>
      </c>
      <c r="G461" s="20" t="s">
        <v>1495</v>
      </c>
      <c r="H461" s="20" t="s">
        <v>554</v>
      </c>
      <c r="I461" s="20" t="s">
        <v>188</v>
      </c>
      <c r="J461" s="20" t="s">
        <v>189</v>
      </c>
      <c r="K461" s="20" t="s">
        <v>190</v>
      </c>
      <c r="L461" s="20" t="s">
        <v>45</v>
      </c>
      <c r="M461" s="20" t="s">
        <v>1496</v>
      </c>
      <c r="N461" s="20" t="s">
        <v>64</v>
      </c>
    </row>
    <row r="462" ht="60.0" customHeight="1">
      <c r="A462" s="17" t="s">
        <v>1457</v>
      </c>
      <c r="B462" s="17" t="s">
        <v>55</v>
      </c>
      <c r="C462" s="17" t="s">
        <v>465</v>
      </c>
      <c r="D462" s="17" t="s">
        <v>127</v>
      </c>
      <c r="E462" s="17" t="s">
        <v>128</v>
      </c>
      <c r="F462" s="36">
        <v>277.75</v>
      </c>
      <c r="G462" s="17" t="s">
        <v>1497</v>
      </c>
      <c r="H462" s="17" t="s">
        <v>465</v>
      </c>
      <c r="I462" s="17" t="s">
        <v>467</v>
      </c>
      <c r="J462" s="17" t="s">
        <v>142</v>
      </c>
      <c r="K462" s="17" t="s">
        <v>468</v>
      </c>
      <c r="L462" s="17" t="s">
        <v>45</v>
      </c>
      <c r="M462" s="17" t="s">
        <v>1498</v>
      </c>
      <c r="N462" s="17" t="s">
        <v>308</v>
      </c>
    </row>
    <row r="463" ht="60.0" customHeight="1">
      <c r="A463" s="20" t="s">
        <v>1457</v>
      </c>
      <c r="B463" s="20" t="s">
        <v>55</v>
      </c>
      <c r="C463" s="20" t="s">
        <v>1499</v>
      </c>
      <c r="D463" s="20" t="s">
        <v>39</v>
      </c>
      <c r="E463" s="20" t="s">
        <v>40</v>
      </c>
      <c r="F463" s="37">
        <v>54.19</v>
      </c>
      <c r="G463" s="20" t="s">
        <v>1500</v>
      </c>
      <c r="H463" s="20" t="s">
        <v>1499</v>
      </c>
      <c r="I463" s="20" t="s">
        <v>1501</v>
      </c>
      <c r="J463" s="20" t="s">
        <v>43</v>
      </c>
      <c r="K463" s="20" t="s">
        <v>1292</v>
      </c>
      <c r="L463" s="20" t="s">
        <v>45</v>
      </c>
      <c r="M463" s="20" t="s">
        <v>1502</v>
      </c>
      <c r="N463" s="20" t="s">
        <v>423</v>
      </c>
    </row>
    <row r="464" ht="60.0" customHeight="1">
      <c r="A464" s="17" t="s">
        <v>1457</v>
      </c>
      <c r="B464" s="17" t="s">
        <v>55</v>
      </c>
      <c r="C464" s="17" t="s">
        <v>1503</v>
      </c>
      <c r="D464" s="17" t="s">
        <v>149</v>
      </c>
      <c r="E464" s="17" t="s">
        <v>150</v>
      </c>
      <c r="F464" s="36">
        <v>235.2</v>
      </c>
      <c r="G464" s="17" t="s">
        <v>1504</v>
      </c>
      <c r="H464" s="17" t="s">
        <v>1503</v>
      </c>
      <c r="I464" s="17" t="s">
        <v>1505</v>
      </c>
      <c r="J464" s="17" t="s">
        <v>142</v>
      </c>
      <c r="K464" s="17" t="s">
        <v>1506</v>
      </c>
      <c r="L464" s="17" t="s">
        <v>45</v>
      </c>
      <c r="M464" s="17" t="s">
        <v>1507</v>
      </c>
      <c r="N464" s="17" t="s">
        <v>114</v>
      </c>
    </row>
    <row r="465" ht="60.0" customHeight="1">
      <c r="A465" s="20" t="s">
        <v>1508</v>
      </c>
      <c r="B465" s="20" t="s">
        <v>55</v>
      </c>
      <c r="C465" s="20" t="s">
        <v>1458</v>
      </c>
      <c r="D465" s="20" t="s">
        <v>149</v>
      </c>
      <c r="E465" s="20" t="s">
        <v>150</v>
      </c>
      <c r="F465" s="37">
        <v>4.48</v>
      </c>
      <c r="G465" s="20" t="s">
        <v>1509</v>
      </c>
      <c r="H465" s="20" t="s">
        <v>1458</v>
      </c>
      <c r="I465" s="20" t="s">
        <v>1460</v>
      </c>
      <c r="J465" s="20" t="s">
        <v>280</v>
      </c>
      <c r="K465" s="20" t="s">
        <v>1461</v>
      </c>
      <c r="L465" s="20" t="s">
        <v>45</v>
      </c>
      <c r="M465" s="20" t="s">
        <v>1510</v>
      </c>
      <c r="N465" s="20" t="s">
        <v>64</v>
      </c>
    </row>
    <row r="466" ht="60.0" customHeight="1">
      <c r="A466" s="17" t="s">
        <v>1508</v>
      </c>
      <c r="B466" s="17" t="s">
        <v>55</v>
      </c>
      <c r="C466" s="17" t="s">
        <v>1511</v>
      </c>
      <c r="D466" s="17" t="s">
        <v>149</v>
      </c>
      <c r="E466" s="17" t="s">
        <v>150</v>
      </c>
      <c r="F466" s="36">
        <v>50.5</v>
      </c>
      <c r="G466" s="17" t="s">
        <v>1512</v>
      </c>
      <c r="H466" s="17" t="s">
        <v>1511</v>
      </c>
      <c r="I466" s="17" t="s">
        <v>1513</v>
      </c>
      <c r="J466" s="17" t="s">
        <v>1514</v>
      </c>
      <c r="K466" s="17" t="s">
        <v>1515</v>
      </c>
      <c r="L466" s="17" t="s">
        <v>45</v>
      </c>
      <c r="M466" s="17" t="s">
        <v>1516</v>
      </c>
      <c r="N466" s="17" t="s">
        <v>423</v>
      </c>
    </row>
    <row r="467" ht="60.0" customHeight="1">
      <c r="A467" s="20" t="s">
        <v>1508</v>
      </c>
      <c r="B467" s="20" t="s">
        <v>55</v>
      </c>
      <c r="C467" s="20" t="s">
        <v>157</v>
      </c>
      <c r="D467" s="20" t="s">
        <v>353</v>
      </c>
      <c r="E467" s="20" t="s">
        <v>354</v>
      </c>
      <c r="F467" s="37">
        <v>64.66</v>
      </c>
      <c r="G467" s="20" t="s">
        <v>1517</v>
      </c>
      <c r="H467" s="20" t="s">
        <v>159</v>
      </c>
      <c r="I467" s="20" t="s">
        <v>86</v>
      </c>
      <c r="J467" s="20" t="s">
        <v>87</v>
      </c>
      <c r="K467" s="20" t="s">
        <v>88</v>
      </c>
      <c r="L467" s="20" t="s">
        <v>45</v>
      </c>
      <c r="M467" s="20" t="s">
        <v>1518</v>
      </c>
      <c r="N467" s="20" t="s">
        <v>90</v>
      </c>
    </row>
    <row r="468" ht="60.0" customHeight="1">
      <c r="A468" s="17" t="s">
        <v>1508</v>
      </c>
      <c r="B468" s="17" t="s">
        <v>55</v>
      </c>
      <c r="C468" s="17" t="s">
        <v>157</v>
      </c>
      <c r="D468" s="17" t="s">
        <v>353</v>
      </c>
      <c r="E468" s="17" t="s">
        <v>354</v>
      </c>
      <c r="F468" s="36">
        <v>95.39</v>
      </c>
      <c r="G468" s="17" t="s">
        <v>1519</v>
      </c>
      <c r="H468" s="17" t="s">
        <v>159</v>
      </c>
      <c r="I468" s="17" t="s">
        <v>86</v>
      </c>
      <c r="J468" s="17" t="s">
        <v>87</v>
      </c>
      <c r="K468" s="17" t="s">
        <v>88</v>
      </c>
      <c r="L468" s="17" t="s">
        <v>45</v>
      </c>
      <c r="M468" s="17" t="s">
        <v>1520</v>
      </c>
      <c r="N468" s="17" t="s">
        <v>90</v>
      </c>
    </row>
    <row r="469" ht="60.0" customHeight="1">
      <c r="A469" s="20" t="s">
        <v>1508</v>
      </c>
      <c r="B469" s="20" t="s">
        <v>55</v>
      </c>
      <c r="C469" s="20" t="s">
        <v>157</v>
      </c>
      <c r="D469" s="20" t="s">
        <v>353</v>
      </c>
      <c r="E469" s="20" t="s">
        <v>354</v>
      </c>
      <c r="F469" s="37">
        <v>169.55</v>
      </c>
      <c r="G469" s="20" t="s">
        <v>1521</v>
      </c>
      <c r="H469" s="20" t="s">
        <v>159</v>
      </c>
      <c r="I469" s="20" t="s">
        <v>86</v>
      </c>
      <c r="J469" s="20" t="s">
        <v>87</v>
      </c>
      <c r="K469" s="20" t="s">
        <v>88</v>
      </c>
      <c r="L469" s="20" t="s">
        <v>45</v>
      </c>
      <c r="M469" s="20" t="s">
        <v>1522</v>
      </c>
      <c r="N469" s="20" t="s">
        <v>90</v>
      </c>
    </row>
    <row r="470" ht="60.0" customHeight="1">
      <c r="A470" s="17" t="s">
        <v>1508</v>
      </c>
      <c r="B470" s="17" t="s">
        <v>55</v>
      </c>
      <c r="C470" s="17" t="s">
        <v>84</v>
      </c>
      <c r="D470" s="17" t="s">
        <v>67</v>
      </c>
      <c r="E470" s="17" t="s">
        <v>68</v>
      </c>
      <c r="F470" s="36">
        <v>53.99</v>
      </c>
      <c r="G470" s="17" t="s">
        <v>1523</v>
      </c>
      <c r="H470" s="17" t="s">
        <v>84</v>
      </c>
      <c r="I470" s="17" t="s">
        <v>86</v>
      </c>
      <c r="J470" s="17" t="s">
        <v>87</v>
      </c>
      <c r="K470" s="17" t="s">
        <v>88</v>
      </c>
      <c r="L470" s="17" t="s">
        <v>45</v>
      </c>
      <c r="M470" s="17" t="s">
        <v>1524</v>
      </c>
      <c r="N470" s="17" t="s">
        <v>90</v>
      </c>
    </row>
    <row r="471" ht="60.0" customHeight="1">
      <c r="A471" s="20" t="s">
        <v>1508</v>
      </c>
      <c r="B471" s="20" t="s">
        <v>55</v>
      </c>
      <c r="C471" s="20" t="s">
        <v>1525</v>
      </c>
      <c r="D471" s="20" t="s">
        <v>127</v>
      </c>
      <c r="E471" s="20" t="s">
        <v>128</v>
      </c>
      <c r="F471" s="37">
        <v>43.17</v>
      </c>
      <c r="G471" s="20" t="s">
        <v>1526</v>
      </c>
      <c r="H471" s="20" t="s">
        <v>1525</v>
      </c>
      <c r="I471" s="20" t="s">
        <v>188</v>
      </c>
      <c r="J471" s="20" t="s">
        <v>189</v>
      </c>
      <c r="K471" s="20" t="s">
        <v>1527</v>
      </c>
      <c r="L471" s="20" t="s">
        <v>45</v>
      </c>
      <c r="M471" s="20" t="s">
        <v>1528</v>
      </c>
      <c r="N471" s="20" t="s">
        <v>64</v>
      </c>
    </row>
    <row r="472" ht="60.0" customHeight="1">
      <c r="A472" s="17" t="s">
        <v>1508</v>
      </c>
      <c r="B472" s="17" t="s">
        <v>55</v>
      </c>
      <c r="C472" s="17" t="s">
        <v>1529</v>
      </c>
      <c r="D472" s="17" t="s">
        <v>149</v>
      </c>
      <c r="E472" s="17" t="s">
        <v>150</v>
      </c>
      <c r="F472" s="36">
        <v>79.56</v>
      </c>
      <c r="G472" s="17" t="s">
        <v>1530</v>
      </c>
      <c r="H472" s="17" t="s">
        <v>1529</v>
      </c>
      <c r="I472" s="17" t="s">
        <v>1531</v>
      </c>
      <c r="J472" s="17" t="s">
        <v>142</v>
      </c>
      <c r="K472" s="17" t="s">
        <v>143</v>
      </c>
      <c r="L472" s="17" t="s">
        <v>45</v>
      </c>
      <c r="M472" s="17" t="s">
        <v>1532</v>
      </c>
      <c r="N472" s="17" t="s">
        <v>122</v>
      </c>
    </row>
    <row r="473" ht="60.0" customHeight="1">
      <c r="A473" s="20" t="s">
        <v>1508</v>
      </c>
      <c r="B473" s="20" t="s">
        <v>55</v>
      </c>
      <c r="C473" s="20" t="s">
        <v>1090</v>
      </c>
      <c r="D473" s="20" t="s">
        <v>57</v>
      </c>
      <c r="E473" s="20" t="s">
        <v>58</v>
      </c>
      <c r="F473" s="37">
        <v>116.8</v>
      </c>
      <c r="G473" s="20" t="s">
        <v>1533</v>
      </c>
      <c r="H473" s="20" t="s">
        <v>1090</v>
      </c>
      <c r="I473" s="20" t="s">
        <v>60</v>
      </c>
      <c r="J473" s="20" t="s">
        <v>61</v>
      </c>
      <c r="K473" s="20" t="s">
        <v>62</v>
      </c>
      <c r="L473" s="20" t="s">
        <v>45</v>
      </c>
      <c r="M473" s="20" t="s">
        <v>1534</v>
      </c>
      <c r="N473" s="20" t="s">
        <v>64</v>
      </c>
    </row>
    <row r="474" ht="60.0" customHeight="1">
      <c r="A474" s="17" t="s">
        <v>1508</v>
      </c>
      <c r="B474" s="17" t="s">
        <v>55</v>
      </c>
      <c r="C474" s="17" t="s">
        <v>56</v>
      </c>
      <c r="D474" s="17" t="s">
        <v>57</v>
      </c>
      <c r="E474" s="17" t="s">
        <v>58</v>
      </c>
      <c r="F474" s="36">
        <v>53.3</v>
      </c>
      <c r="G474" s="17" t="s">
        <v>1535</v>
      </c>
      <c r="H474" s="17" t="s">
        <v>56</v>
      </c>
      <c r="I474" s="17" t="s">
        <v>60</v>
      </c>
      <c r="J474" s="17" t="s">
        <v>61</v>
      </c>
      <c r="K474" s="17" t="s">
        <v>62</v>
      </c>
      <c r="L474" s="17" t="s">
        <v>45</v>
      </c>
      <c r="M474" s="17" t="s">
        <v>1536</v>
      </c>
      <c r="N474" s="17" t="s">
        <v>64</v>
      </c>
    </row>
    <row r="475" ht="60.0" customHeight="1">
      <c r="A475" s="20" t="s">
        <v>1508</v>
      </c>
      <c r="B475" s="20" t="s">
        <v>55</v>
      </c>
      <c r="C475" s="20" t="s">
        <v>1476</v>
      </c>
      <c r="D475" s="20" t="s">
        <v>39</v>
      </c>
      <c r="E475" s="20" t="s">
        <v>40</v>
      </c>
      <c r="F475" s="37">
        <v>28.18</v>
      </c>
      <c r="G475" s="20" t="s">
        <v>1537</v>
      </c>
      <c r="H475" s="20" t="s">
        <v>1476</v>
      </c>
      <c r="I475" s="20" t="s">
        <v>1478</v>
      </c>
      <c r="J475" s="20" t="s">
        <v>1479</v>
      </c>
      <c r="K475" s="20" t="s">
        <v>1480</v>
      </c>
      <c r="L475" s="20" t="s">
        <v>45</v>
      </c>
      <c r="M475" s="20" t="s">
        <v>1538</v>
      </c>
      <c r="N475" s="20" t="s">
        <v>534</v>
      </c>
    </row>
    <row r="476" ht="60.0" customHeight="1">
      <c r="A476" s="17" t="s">
        <v>1508</v>
      </c>
      <c r="B476" s="17" t="s">
        <v>55</v>
      </c>
      <c r="C476" s="17" t="s">
        <v>92</v>
      </c>
      <c r="D476" s="17" t="s">
        <v>138</v>
      </c>
      <c r="E476" s="17" t="s">
        <v>139</v>
      </c>
      <c r="F476" s="36">
        <v>121.93</v>
      </c>
      <c r="G476" s="17" t="s">
        <v>1539</v>
      </c>
      <c r="H476" s="17" t="s">
        <v>92</v>
      </c>
      <c r="I476" s="17" t="s">
        <v>208</v>
      </c>
      <c r="J476" s="17" t="s">
        <v>97</v>
      </c>
      <c r="K476" s="17" t="s">
        <v>98</v>
      </c>
      <c r="L476" s="17" t="s">
        <v>45</v>
      </c>
      <c r="M476" s="17" t="s">
        <v>1540</v>
      </c>
      <c r="N476" s="17" t="s">
        <v>64</v>
      </c>
    </row>
    <row r="477" ht="60.0" customHeight="1">
      <c r="A477" s="20" t="s">
        <v>1508</v>
      </c>
      <c r="B477" s="20" t="s">
        <v>55</v>
      </c>
      <c r="C477" s="20" t="s">
        <v>1200</v>
      </c>
      <c r="D477" s="20" t="s">
        <v>39</v>
      </c>
      <c r="E477" s="20" t="s">
        <v>40</v>
      </c>
      <c r="F477" s="37">
        <v>98.0</v>
      </c>
      <c r="G477" s="20" t="s">
        <v>1541</v>
      </c>
      <c r="H477" s="20" t="s">
        <v>1200</v>
      </c>
      <c r="I477" s="20" t="s">
        <v>208</v>
      </c>
      <c r="J477" s="20" t="s">
        <v>97</v>
      </c>
      <c r="K477" s="20" t="s">
        <v>98</v>
      </c>
      <c r="L477" s="20" t="s">
        <v>45</v>
      </c>
      <c r="M477" s="20" t="s">
        <v>1542</v>
      </c>
      <c r="N477" s="20" t="s">
        <v>64</v>
      </c>
    </row>
    <row r="478" ht="60.0" customHeight="1">
      <c r="A478" s="17" t="s">
        <v>1508</v>
      </c>
      <c r="B478" s="17" t="s">
        <v>55</v>
      </c>
      <c r="C478" s="17" t="s">
        <v>1543</v>
      </c>
      <c r="D478" s="17" t="s">
        <v>149</v>
      </c>
      <c r="E478" s="17" t="s">
        <v>150</v>
      </c>
      <c r="F478" s="36">
        <v>559.77</v>
      </c>
      <c r="G478" s="17" t="s">
        <v>1544</v>
      </c>
      <c r="H478" s="17" t="s">
        <v>1543</v>
      </c>
      <c r="I478" s="17" t="s">
        <v>1545</v>
      </c>
      <c r="J478" s="17" t="s">
        <v>1546</v>
      </c>
      <c r="K478" s="17" t="s">
        <v>1547</v>
      </c>
      <c r="L478" s="17" t="s">
        <v>45</v>
      </c>
      <c r="M478" s="17" t="s">
        <v>1548</v>
      </c>
      <c r="N478" s="17" t="s">
        <v>1549</v>
      </c>
    </row>
    <row r="479" ht="60.0" customHeight="1">
      <c r="A479" s="20" t="s">
        <v>1508</v>
      </c>
      <c r="B479" s="20" t="s">
        <v>55</v>
      </c>
      <c r="C479" s="20" t="s">
        <v>1550</v>
      </c>
      <c r="D479" s="20" t="s">
        <v>93</v>
      </c>
      <c r="E479" s="20" t="s">
        <v>94</v>
      </c>
      <c r="F479" s="37">
        <v>2110.1</v>
      </c>
      <c r="G479" s="20" t="s">
        <v>1551</v>
      </c>
      <c r="H479" s="20" t="s">
        <v>1550</v>
      </c>
      <c r="I479" s="20" t="s">
        <v>55</v>
      </c>
      <c r="J479" s="20" t="s">
        <v>55</v>
      </c>
      <c r="K479" s="20" t="s">
        <v>55</v>
      </c>
      <c r="L479" s="20" t="s">
        <v>55</v>
      </c>
      <c r="M479" s="20" t="s">
        <v>1552</v>
      </c>
      <c r="N479" s="20" t="s">
        <v>206</v>
      </c>
    </row>
    <row r="480" ht="60.0" customHeight="1">
      <c r="A480" s="17" t="s">
        <v>1508</v>
      </c>
      <c r="B480" s="17" t="s">
        <v>55</v>
      </c>
      <c r="C480" s="17" t="s">
        <v>554</v>
      </c>
      <c r="D480" s="17" t="s">
        <v>353</v>
      </c>
      <c r="E480" s="17" t="s">
        <v>354</v>
      </c>
      <c r="F480" s="36">
        <v>9.31</v>
      </c>
      <c r="G480" s="17" t="s">
        <v>1553</v>
      </c>
      <c r="H480" s="17" t="s">
        <v>554</v>
      </c>
      <c r="I480" s="17" t="s">
        <v>188</v>
      </c>
      <c r="J480" s="17" t="s">
        <v>189</v>
      </c>
      <c r="K480" s="17" t="s">
        <v>190</v>
      </c>
      <c r="L480" s="17" t="s">
        <v>45</v>
      </c>
      <c r="M480" s="17" t="s">
        <v>1554</v>
      </c>
      <c r="N480" s="17" t="s">
        <v>64</v>
      </c>
    </row>
    <row r="481" ht="60.0" customHeight="1">
      <c r="A481" s="20" t="s">
        <v>1508</v>
      </c>
      <c r="B481" s="20" t="s">
        <v>55</v>
      </c>
      <c r="C481" s="20" t="s">
        <v>554</v>
      </c>
      <c r="D481" s="20" t="s">
        <v>353</v>
      </c>
      <c r="E481" s="20" t="s">
        <v>354</v>
      </c>
      <c r="F481" s="37">
        <v>100.0</v>
      </c>
      <c r="G481" s="20" t="s">
        <v>1555</v>
      </c>
      <c r="H481" s="20" t="s">
        <v>554</v>
      </c>
      <c r="I481" s="20" t="s">
        <v>188</v>
      </c>
      <c r="J481" s="20" t="s">
        <v>189</v>
      </c>
      <c r="K481" s="20" t="s">
        <v>190</v>
      </c>
      <c r="L481" s="20" t="s">
        <v>45</v>
      </c>
      <c r="M481" s="20" t="s">
        <v>1556</v>
      </c>
      <c r="N481" s="20" t="s">
        <v>64</v>
      </c>
    </row>
    <row r="482" ht="60.0" customHeight="1">
      <c r="A482" s="17" t="s">
        <v>1508</v>
      </c>
      <c r="B482" s="17" t="s">
        <v>55</v>
      </c>
      <c r="C482" s="17" t="s">
        <v>554</v>
      </c>
      <c r="D482" s="17" t="s">
        <v>353</v>
      </c>
      <c r="E482" s="17" t="s">
        <v>354</v>
      </c>
      <c r="F482" s="36">
        <v>100.0</v>
      </c>
      <c r="G482" s="17" t="s">
        <v>1557</v>
      </c>
      <c r="H482" s="17" t="s">
        <v>554</v>
      </c>
      <c r="I482" s="17" t="s">
        <v>188</v>
      </c>
      <c r="J482" s="17" t="s">
        <v>189</v>
      </c>
      <c r="K482" s="17" t="s">
        <v>190</v>
      </c>
      <c r="L482" s="17" t="s">
        <v>45</v>
      </c>
      <c r="M482" s="17" t="s">
        <v>1558</v>
      </c>
      <c r="N482" s="17" t="s">
        <v>64</v>
      </c>
    </row>
    <row r="483" ht="60.0" customHeight="1">
      <c r="A483" s="20" t="s">
        <v>1508</v>
      </c>
      <c r="B483" s="20" t="s">
        <v>55</v>
      </c>
      <c r="C483" s="20" t="s">
        <v>1559</v>
      </c>
      <c r="D483" s="20" t="s">
        <v>149</v>
      </c>
      <c r="E483" s="20" t="s">
        <v>150</v>
      </c>
      <c r="F483" s="37">
        <v>771.91</v>
      </c>
      <c r="G483" s="20" t="s">
        <v>1560</v>
      </c>
      <c r="H483" s="20" t="s">
        <v>1559</v>
      </c>
      <c r="I483" s="20" t="s">
        <v>1561</v>
      </c>
      <c r="J483" s="20" t="s">
        <v>142</v>
      </c>
      <c r="K483" s="20" t="s">
        <v>1562</v>
      </c>
      <c r="L483" s="20" t="s">
        <v>45</v>
      </c>
      <c r="M483" s="20" t="s">
        <v>1563</v>
      </c>
      <c r="N483" s="20" t="s">
        <v>64</v>
      </c>
    </row>
    <row r="484" ht="60.0" customHeight="1">
      <c r="A484" s="17" t="s">
        <v>1508</v>
      </c>
      <c r="B484" s="17" t="s">
        <v>55</v>
      </c>
      <c r="C484" s="17" t="s">
        <v>1564</v>
      </c>
      <c r="D484" s="17" t="s">
        <v>353</v>
      </c>
      <c r="E484" s="17" t="s">
        <v>354</v>
      </c>
      <c r="F484" s="36">
        <v>120.0</v>
      </c>
      <c r="G484" s="17" t="s">
        <v>1565</v>
      </c>
      <c r="H484" s="17" t="s">
        <v>1564</v>
      </c>
      <c r="I484" s="17" t="s">
        <v>1566</v>
      </c>
      <c r="J484" s="17" t="s">
        <v>305</v>
      </c>
      <c r="K484" s="17" t="s">
        <v>1567</v>
      </c>
      <c r="L484" s="17" t="s">
        <v>45</v>
      </c>
      <c r="M484" s="17" t="s">
        <v>1568</v>
      </c>
      <c r="N484" s="17" t="s">
        <v>174</v>
      </c>
    </row>
    <row r="485" ht="60.0" customHeight="1">
      <c r="A485" s="20" t="s">
        <v>1508</v>
      </c>
      <c r="B485" s="20" t="s">
        <v>55</v>
      </c>
      <c r="C485" s="20" t="s">
        <v>1569</v>
      </c>
      <c r="D485" s="20" t="s">
        <v>39</v>
      </c>
      <c r="E485" s="20" t="s">
        <v>40</v>
      </c>
      <c r="F485" s="37">
        <v>18.18</v>
      </c>
      <c r="G485" s="20" t="s">
        <v>1570</v>
      </c>
      <c r="H485" s="20" t="s">
        <v>1569</v>
      </c>
      <c r="I485" s="20" t="s">
        <v>1571</v>
      </c>
      <c r="J485" s="20" t="s">
        <v>326</v>
      </c>
      <c r="K485" s="20" t="s">
        <v>1572</v>
      </c>
      <c r="L485" s="20" t="s">
        <v>45</v>
      </c>
      <c r="M485" s="20" t="s">
        <v>1573</v>
      </c>
      <c r="N485" s="20" t="s">
        <v>64</v>
      </c>
    </row>
    <row r="486" ht="60.0" customHeight="1">
      <c r="A486" s="17" t="s">
        <v>1508</v>
      </c>
      <c r="B486" s="17" t="s">
        <v>55</v>
      </c>
      <c r="C486" s="17" t="s">
        <v>1569</v>
      </c>
      <c r="D486" s="17" t="s">
        <v>39</v>
      </c>
      <c r="E486" s="17" t="s">
        <v>40</v>
      </c>
      <c r="F486" s="36">
        <v>46.5</v>
      </c>
      <c r="G486" s="17" t="s">
        <v>1574</v>
      </c>
      <c r="H486" s="17" t="s">
        <v>1569</v>
      </c>
      <c r="I486" s="17" t="s">
        <v>1571</v>
      </c>
      <c r="J486" s="17" t="s">
        <v>326</v>
      </c>
      <c r="K486" s="17" t="s">
        <v>1572</v>
      </c>
      <c r="L486" s="17" t="s">
        <v>45</v>
      </c>
      <c r="M486" s="17" t="s">
        <v>1575</v>
      </c>
      <c r="N486" s="17" t="s">
        <v>64</v>
      </c>
    </row>
    <row r="487" ht="60.0" customHeight="1">
      <c r="A487" s="20" t="s">
        <v>1508</v>
      </c>
      <c r="B487" s="20" t="s">
        <v>55</v>
      </c>
      <c r="C487" s="20" t="s">
        <v>1569</v>
      </c>
      <c r="D487" s="20" t="s">
        <v>39</v>
      </c>
      <c r="E487" s="20" t="s">
        <v>40</v>
      </c>
      <c r="F487" s="37">
        <v>147.5</v>
      </c>
      <c r="G487" s="20" t="s">
        <v>1576</v>
      </c>
      <c r="H487" s="20" t="s">
        <v>1569</v>
      </c>
      <c r="I487" s="20" t="s">
        <v>1571</v>
      </c>
      <c r="J487" s="20" t="s">
        <v>326</v>
      </c>
      <c r="K487" s="20" t="s">
        <v>1572</v>
      </c>
      <c r="L487" s="20" t="s">
        <v>45</v>
      </c>
      <c r="M487" s="20" t="s">
        <v>1577</v>
      </c>
      <c r="N487" s="20" t="s">
        <v>64</v>
      </c>
    </row>
    <row r="488" ht="60.0" customHeight="1">
      <c r="A488" s="17" t="s">
        <v>1508</v>
      </c>
      <c r="B488" s="17" t="s">
        <v>55</v>
      </c>
      <c r="C488" s="17" t="s">
        <v>1578</v>
      </c>
      <c r="D488" s="17" t="s">
        <v>39</v>
      </c>
      <c r="E488" s="17" t="s">
        <v>40</v>
      </c>
      <c r="F488" s="36">
        <v>92.25</v>
      </c>
      <c r="G488" s="17" t="s">
        <v>1579</v>
      </c>
      <c r="H488" s="17" t="s">
        <v>1578</v>
      </c>
      <c r="I488" s="17" t="s">
        <v>1580</v>
      </c>
      <c r="J488" s="17" t="s">
        <v>326</v>
      </c>
      <c r="K488" s="17" t="s">
        <v>1581</v>
      </c>
      <c r="L488" s="17" t="s">
        <v>45</v>
      </c>
      <c r="M488" s="17" t="s">
        <v>1582</v>
      </c>
      <c r="N488" s="17" t="s">
        <v>64</v>
      </c>
    </row>
    <row r="489" ht="60.0" customHeight="1">
      <c r="A489" s="20" t="s">
        <v>1508</v>
      </c>
      <c r="B489" s="20" t="s">
        <v>55</v>
      </c>
      <c r="C489" s="20" t="s">
        <v>1583</v>
      </c>
      <c r="D489" s="20" t="s">
        <v>39</v>
      </c>
      <c r="E489" s="20" t="s">
        <v>40</v>
      </c>
      <c r="F489" s="37">
        <v>59.8</v>
      </c>
      <c r="G489" s="20" t="s">
        <v>1584</v>
      </c>
      <c r="H489" s="20" t="s">
        <v>1583</v>
      </c>
      <c r="I489" s="20" t="s">
        <v>537</v>
      </c>
      <c r="J489" s="20" t="s">
        <v>538</v>
      </c>
      <c r="K489" s="20" t="s">
        <v>539</v>
      </c>
      <c r="L489" s="20" t="s">
        <v>45</v>
      </c>
      <c r="M489" s="20" t="s">
        <v>1585</v>
      </c>
      <c r="N489" s="20" t="s">
        <v>64</v>
      </c>
    </row>
    <row r="490" ht="60.0" customHeight="1">
      <c r="A490" s="17" t="s">
        <v>1508</v>
      </c>
      <c r="B490" s="17" t="s">
        <v>55</v>
      </c>
      <c r="C490" s="17" t="s">
        <v>1040</v>
      </c>
      <c r="D490" s="17" t="s">
        <v>149</v>
      </c>
      <c r="E490" s="17" t="s">
        <v>150</v>
      </c>
      <c r="F490" s="36">
        <v>84.18</v>
      </c>
      <c r="G490" s="17" t="s">
        <v>1586</v>
      </c>
      <c r="H490" s="17" t="s">
        <v>1040</v>
      </c>
      <c r="I490" s="17" t="s">
        <v>1042</v>
      </c>
      <c r="J490" s="17" t="s">
        <v>142</v>
      </c>
      <c r="K490" s="17" t="s">
        <v>180</v>
      </c>
      <c r="L490" s="17" t="s">
        <v>45</v>
      </c>
      <c r="M490" s="17" t="s">
        <v>1587</v>
      </c>
      <c r="N490" s="17" t="s">
        <v>182</v>
      </c>
    </row>
    <row r="491" ht="60.0" customHeight="1">
      <c r="A491" s="20" t="s">
        <v>1508</v>
      </c>
      <c r="B491" s="20" t="s">
        <v>55</v>
      </c>
      <c r="C491" s="20" t="s">
        <v>1588</v>
      </c>
      <c r="D491" s="20" t="s">
        <v>149</v>
      </c>
      <c r="E491" s="20" t="s">
        <v>150</v>
      </c>
      <c r="F491" s="37">
        <v>14.08</v>
      </c>
      <c r="G491" s="20" t="s">
        <v>1589</v>
      </c>
      <c r="H491" s="20" t="s">
        <v>1588</v>
      </c>
      <c r="I491" s="20" t="s">
        <v>1590</v>
      </c>
      <c r="J491" s="20" t="s">
        <v>1514</v>
      </c>
      <c r="K491" s="20" t="s">
        <v>1515</v>
      </c>
      <c r="L491" s="20" t="s">
        <v>45</v>
      </c>
      <c r="M491" s="20" t="s">
        <v>1591</v>
      </c>
      <c r="N491" s="20" t="s">
        <v>122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6.25"/>
  </cols>
  <sheetData>
    <row r="1">
      <c r="A1" s="34" t="s">
        <v>1592</v>
      </c>
      <c r="B1" s="34" t="s">
        <v>1385</v>
      </c>
    </row>
    <row r="2">
      <c r="A2" s="35" t="s">
        <v>1386</v>
      </c>
      <c r="B2" s="35" t="s">
        <v>55</v>
      </c>
    </row>
    <row r="3">
      <c r="A3" s="23" t="s">
        <v>93</v>
      </c>
      <c r="B3" s="23" t="s">
        <v>55</v>
      </c>
    </row>
    <row r="4">
      <c r="A4" s="35" t="s">
        <v>1387</v>
      </c>
      <c r="B4" s="35" t="s">
        <v>55</v>
      </c>
    </row>
    <row r="5">
      <c r="A5" s="23" t="s">
        <v>1388</v>
      </c>
      <c r="B5" s="23" t="s">
        <v>55</v>
      </c>
    </row>
    <row r="6">
      <c r="A6" s="35" t="s">
        <v>55</v>
      </c>
      <c r="B6" s="35" t="s">
        <v>55</v>
      </c>
      <c r="C6" s="35" t="s">
        <v>55</v>
      </c>
      <c r="D6" s="35" t="s">
        <v>55</v>
      </c>
    </row>
    <row r="7">
      <c r="A7" s="35" t="s">
        <v>1593</v>
      </c>
      <c r="B7" s="35" t="s">
        <v>55</v>
      </c>
      <c r="C7" s="35" t="s">
        <v>55</v>
      </c>
      <c r="D7" s="35" t="s">
        <v>55</v>
      </c>
    </row>
    <row r="8">
      <c r="A8" s="15" t="s">
        <v>26</v>
      </c>
      <c r="B8" s="15" t="s">
        <v>1594</v>
      </c>
      <c r="C8" s="15" t="s">
        <v>1595</v>
      </c>
      <c r="D8" s="15" t="s">
        <v>14</v>
      </c>
    </row>
    <row r="9">
      <c r="A9" s="20" t="s">
        <v>93</v>
      </c>
      <c r="B9" s="37">
        <v>-95257.24</v>
      </c>
      <c r="C9" s="37">
        <v>21185.8</v>
      </c>
      <c r="D9" s="37">
        <v>-74071.44</v>
      </c>
    </row>
    <row r="10">
      <c r="A10" s="20" t="s">
        <v>353</v>
      </c>
      <c r="B10" s="37">
        <v>0.0</v>
      </c>
      <c r="C10" s="37">
        <v>5871.01</v>
      </c>
      <c r="D10" s="37">
        <v>5871.01</v>
      </c>
    </row>
    <row r="11">
      <c r="A11" s="20" t="s">
        <v>138</v>
      </c>
      <c r="B11" s="37">
        <v>0.0</v>
      </c>
      <c r="C11" s="37">
        <v>3473.07</v>
      </c>
      <c r="D11" s="37">
        <v>3473.07</v>
      </c>
    </row>
    <row r="12">
      <c r="A12" s="20" t="s">
        <v>127</v>
      </c>
      <c r="B12" s="37">
        <v>0.0</v>
      </c>
      <c r="C12" s="37">
        <v>8689.9</v>
      </c>
      <c r="D12" s="37">
        <v>8689.9</v>
      </c>
    </row>
    <row r="13">
      <c r="A13" s="20" t="s">
        <v>67</v>
      </c>
      <c r="B13" s="37">
        <v>-264.41</v>
      </c>
      <c r="C13" s="37">
        <v>6451.92</v>
      </c>
      <c r="D13" s="37">
        <v>6187.51</v>
      </c>
    </row>
    <row r="14">
      <c r="A14" s="20" t="s">
        <v>57</v>
      </c>
      <c r="B14" s="37">
        <v>0.0</v>
      </c>
      <c r="C14" s="37">
        <v>7755.27</v>
      </c>
      <c r="D14" s="37">
        <v>7755.27</v>
      </c>
    </row>
    <row r="15">
      <c r="A15" s="20" t="s">
        <v>149</v>
      </c>
      <c r="B15" s="37">
        <v>0.0</v>
      </c>
      <c r="C15" s="37">
        <v>9682.14</v>
      </c>
      <c r="D15" s="37">
        <v>9682.14</v>
      </c>
    </row>
    <row r="16">
      <c r="A16" s="20" t="s">
        <v>39</v>
      </c>
      <c r="B16" s="37">
        <v>-1.0</v>
      </c>
      <c r="C16" s="37">
        <v>26114.09</v>
      </c>
      <c r="D16" s="37">
        <v>26113.09</v>
      </c>
    </row>
    <row r="17">
      <c r="A17" s="38" t="s">
        <v>14</v>
      </c>
      <c r="B17" s="39">
        <v>-95522.65</v>
      </c>
      <c r="C17" s="39">
        <v>89223.2</v>
      </c>
      <c r="D17" s="39">
        <v>-6299.45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2026-01-29T02:00:09Z</dcterms:created>
  <dc:creator>Apache POI</dc:creator>
</cp:coreProperties>
</file>